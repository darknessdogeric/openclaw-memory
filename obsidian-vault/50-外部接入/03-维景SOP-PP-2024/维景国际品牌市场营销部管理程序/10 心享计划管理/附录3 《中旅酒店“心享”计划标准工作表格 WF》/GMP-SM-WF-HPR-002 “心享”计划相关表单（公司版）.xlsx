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C:\Users\surfacepro3\Desktop\"/>
    </mc:Choice>
  </mc:AlternateContent>
  <xr:revisionPtr revIDLastSave="0" documentId="13_ncr:1_{C0D0E703-2C04-4D54-8BBF-45A2ACFB7451}" xr6:coauthVersionLast="47" xr6:coauthVersionMax="47" xr10:uidLastSave="{00000000-0000-0000-0000-000000000000}"/>
  <bookViews>
    <workbookView xWindow="-110" yWindow="-110" windowWidth="21820" windowHeight="14060" tabRatio="970" firstSheet="5" activeTab="11" xr2:uid="{00000000-000D-0000-FFFF-FFFF00000000}"/>
  </bookViews>
  <sheets>
    <sheet name="目录" sheetId="12" r:id="rId1"/>
    <sheet name="1.”心享“计划物料到货情况统计表" sheetId="1" r:id="rId2"/>
    <sheet name="2.“心享”计划定期物料出库情况统计表" sheetId="10" r:id="rId3"/>
    <sheet name="3.“心享”计划相关物料邮寄信息（酒店）" sheetId="9" r:id="rId4"/>
    <sheet name="4.“心享”计划相关物料分发名单" sheetId="11" r:id="rId5"/>
    <sheet name="5.临时物料出库情况统计表" sheetId="2" r:id="rId6"/>
    <sheet name="6.补卡申请情况统计表" sheetId="7" r:id="rId7"/>
    <sheet name="7.账户合并申请情况统计表" sheetId="8" r:id="rId8"/>
    <sheet name="8.申请表记录抽样报告" sheetId="6" r:id="rId9"/>
    <sheet name="9.“心享”会员投诉积分奖励记录表" sheetId="13" r:id="rId10"/>
    <sheet name="10.合作供应商产品清单" sheetId="14" r:id="rId11"/>
    <sheet name="11.积分商城商品清单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5" l="1"/>
  <c r="N8" i="15" s="1"/>
  <c r="I12" i="10"/>
  <c r="J12" i="10" s="1"/>
  <c r="H12" i="10"/>
  <c r="O12" i="10" s="1"/>
  <c r="P12" i="10" s="1"/>
  <c r="O11" i="10"/>
  <c r="P11" i="10" s="1"/>
  <c r="J11" i="10"/>
  <c r="I11" i="10"/>
  <c r="H11" i="10"/>
  <c r="O10" i="10"/>
  <c r="P10" i="10" s="1"/>
  <c r="J10" i="10"/>
  <c r="I10" i="10"/>
  <c r="H10" i="10"/>
  <c r="G8" i="15" l="1"/>
  <c r="H8" i="15" s="1"/>
  <c r="I8" i="15" s="1"/>
  <c r="J8" i="15"/>
</calcChain>
</file>

<file path=xl/sharedStrings.xml><?xml version="1.0" encoding="utf-8"?>
<sst xmlns="http://schemas.openxmlformats.org/spreadsheetml/2006/main" count="174" uniqueCount="150">
  <si>
    <t>“心享”计划相关表单</t>
  </si>
  <si>
    <t>目录</t>
  </si>
  <si>
    <t>1.“心享”计划物料到货清单统计表</t>
  </si>
  <si>
    <t>2.“心享”计划定期物料出库情况统计表</t>
  </si>
  <si>
    <t>3.“心享”计划相关物料邮寄信息（酒店）</t>
  </si>
  <si>
    <t>4.“心享”计划相关物料分发名单</t>
  </si>
  <si>
    <t>5.临时物料出库情况统计表</t>
  </si>
  <si>
    <t>6.补卡申请情况统计表</t>
  </si>
  <si>
    <t>7.账户合并申请情况统计表</t>
  </si>
  <si>
    <t>8.申请表记录抽样报告</t>
  </si>
  <si>
    <t>9.“心享”会员投诉积分奖励记录表</t>
  </si>
  <si>
    <t>10.合作供应商产品清单</t>
  </si>
  <si>
    <t>“心享”计划物料到货情况统计表</t>
  </si>
  <si>
    <t>物料类型</t>
  </si>
  <si>
    <t>单价</t>
  </si>
  <si>
    <t>到货数量</t>
  </si>
  <si>
    <t>到取货日期</t>
  </si>
  <si>
    <t>收货人</t>
  </si>
  <si>
    <t>存放地点</t>
  </si>
  <si>
    <t>备注</t>
  </si>
  <si>
    <t>会员卡</t>
  </si>
  <si>
    <t>补货1</t>
  </si>
  <si>
    <t>补货2</t>
  </si>
  <si>
    <t>申请表</t>
  </si>
  <si>
    <t>礼品</t>
  </si>
  <si>
    <t>其他</t>
  </si>
  <si>
    <t>“心享”计划定期物料出库情况统计表</t>
  </si>
  <si>
    <t xml:space="preserve">Updated: </t>
  </si>
  <si>
    <t>#</t>
  </si>
  <si>
    <t>酒店名称</t>
  </si>
  <si>
    <t>可售房数</t>
  </si>
  <si>
    <t>会员发展情况</t>
  </si>
  <si>
    <t>物料发放情况</t>
  </si>
  <si>
    <t>当年发展指标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</si>
  <si>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</si>
  <si>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</si>
  <si>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</si>
  <si>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</si>
  <si>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</si>
  <si>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</si>
  <si>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</si>
  <si>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</si>
  <si>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</si>
  <si>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</si>
  <si>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</si>
  <si>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当年实际发展累计</t>
  </si>
  <si>
    <t>当季实际发展累计</t>
  </si>
  <si>
    <t>每月平均发展累计C=B/月</t>
  </si>
  <si>
    <t>当季发展指标累计D=A/12*月</t>
  </si>
  <si>
    <t>实际完成指标% E=B/D</t>
  </si>
  <si>
    <r>
      <rPr>
        <b/>
        <sz val="9"/>
        <color indexed="8"/>
        <rFont val="仿宋"/>
        <charset val="134"/>
      </rPr>
      <t>上一季度定期分发量</t>
    </r>
  </si>
  <si>
    <t>上一季度临时分发量</t>
  </si>
  <si>
    <t>上一季度定期分发量+上一季度临时分发量</t>
  </si>
  <si>
    <t>目前应剩余量I=H-B</t>
  </si>
  <si>
    <t>下一季度需求量J=C*3.5</t>
  </si>
  <si>
    <t>下一季度应发量K=I-J</t>
  </si>
  <si>
    <t>“心享”计划相关物料邮寄信息（酒店）</t>
  </si>
  <si>
    <t>收件人姓名</t>
  </si>
  <si>
    <t>联系方式</t>
  </si>
  <si>
    <t>邮寄地址</t>
  </si>
  <si>
    <t>邮编</t>
  </si>
  <si>
    <t>邮寄日期</t>
  </si>
  <si>
    <t>快递单号</t>
  </si>
  <si>
    <t>“心享”计划相关物料分发名单</t>
  </si>
  <si>
    <t>发放数量</t>
  </si>
  <si>
    <t>Address</t>
  </si>
  <si>
    <t>Post Code</t>
  </si>
  <si>
    <t>Contact</t>
  </si>
  <si>
    <t>Tel</t>
  </si>
  <si>
    <t>Mobile</t>
  </si>
  <si>
    <t>“心享”临时物料出库统计情况表</t>
  </si>
  <si>
    <t>发货数量</t>
  </si>
  <si>
    <t>发货日期</t>
  </si>
  <si>
    <t>收货人（签字）</t>
  </si>
  <si>
    <t>快递/邮局单号</t>
  </si>
  <si>
    <t>“心享”会员补卡申请情况统计表</t>
  </si>
  <si>
    <t>会员卡号</t>
  </si>
  <si>
    <t>会员姓名</t>
  </si>
  <si>
    <t>“心享”会员账户合并申请情况统计表</t>
  </si>
  <si>
    <t>新账户会员卡号</t>
  </si>
  <si>
    <t>旧账户会员卡号</t>
  </si>
  <si>
    <t>手机号码</t>
  </si>
  <si>
    <t>邮箱地址</t>
  </si>
  <si>
    <t>需合并积分   （消费积分）</t>
  </si>
  <si>
    <t>申请酒店</t>
  </si>
  <si>
    <t>提交日期</t>
  </si>
  <si>
    <t>“心享”申请表记录抽样报告</t>
  </si>
  <si>
    <t xml:space="preserve">抽检日期：                </t>
  </si>
  <si>
    <t>抽检酒店：</t>
  </si>
  <si>
    <t>抽检样本量：</t>
  </si>
  <si>
    <t>抽检号段：</t>
  </si>
  <si>
    <t>错误类型</t>
  </si>
  <si>
    <t>修改建议</t>
  </si>
  <si>
    <t>卡号</t>
  </si>
  <si>
    <t>酒店反馈</t>
  </si>
  <si>
    <t>1 该卡号被跳号未使用</t>
  </si>
  <si>
    <t>2 申请表无会员签字</t>
  </si>
  <si>
    <t>3 申请表上的会员签名与系统中的会员姓名不一致</t>
  </si>
  <si>
    <t>4 电邮与手机号码同时为空</t>
  </si>
  <si>
    <t>5 各项信息与申请表不一致</t>
  </si>
  <si>
    <t>6 各项信息的录入格式不正确</t>
  </si>
  <si>
    <t>7 其他错误</t>
  </si>
  <si>
    <t>“心享”会员投诉积分奖励记录表</t>
  </si>
  <si>
    <t>投诉涉及酒店</t>
  </si>
  <si>
    <t>投诉内容</t>
  </si>
  <si>
    <t>增加奖励积分值</t>
  </si>
  <si>
    <t>年   月份</t>
  </si>
  <si>
    <t>购买方名称：港中旅酒店有限公司</t>
  </si>
  <si>
    <t>销售方名称：</t>
  </si>
  <si>
    <t>所属增值税专用发票代码：                                      号码：</t>
  </si>
  <si>
    <t>收款账号</t>
  </si>
  <si>
    <t>开户银行</t>
  </si>
  <si>
    <t>收款账户</t>
  </si>
  <si>
    <t>序号</t>
  </si>
  <si>
    <t>货物名称</t>
  </si>
  <si>
    <t>单位数量</t>
  </si>
  <si>
    <t>结算价格</t>
  </si>
  <si>
    <t>税率</t>
  </si>
  <si>
    <t>总金额</t>
  </si>
  <si>
    <t>/</t>
  </si>
  <si>
    <t>填报人</t>
  </si>
  <si>
    <t>复核人</t>
  </si>
  <si>
    <t>确认人</t>
  </si>
  <si>
    <t>盖章</t>
  </si>
  <si>
    <t>签字</t>
  </si>
  <si>
    <t>日期</t>
  </si>
  <si>
    <t>类别</t>
  </si>
  <si>
    <t>商品名称</t>
  </si>
  <si>
    <t>型号备注</t>
  </si>
  <si>
    <t>常规积分展示</t>
  </si>
  <si>
    <t>爆款/限时积分展示</t>
  </si>
  <si>
    <t>积分+现金</t>
  </si>
  <si>
    <t>积分+现金成本
（单位：元）</t>
  </si>
  <si>
    <t>商品状态</t>
  </si>
  <si>
    <t>上线时间</t>
  </si>
  <si>
    <t>积分展示</t>
  </si>
  <si>
    <t>回馈率</t>
  </si>
  <si>
    <t>爆款/限时积分</t>
  </si>
  <si>
    <t>积分商城对账单</t>
    <phoneticPr fontId="31" type="noConversion"/>
  </si>
  <si>
    <t>ROI
（单位：元）</t>
    <phoneticPr fontId="31" type="noConversion"/>
  </si>
  <si>
    <t>管理费
（单位：元）</t>
    <phoneticPr fontId="31" type="noConversion"/>
  </si>
  <si>
    <t>可积分金额
（单位：元）</t>
    <phoneticPr fontId="31" type="noConversion"/>
  </si>
  <si>
    <t xml:space="preserve">原积分 </t>
    <phoneticPr fontId="31" type="noConversion"/>
  </si>
  <si>
    <t>示例</t>
    <phoneticPr fontId="31" type="noConversion"/>
  </si>
  <si>
    <t>结算价（含税含快递）
（单位：元）</t>
    <phoneticPr fontId="31" type="noConversion"/>
  </si>
  <si>
    <t>积分溢价比例</t>
    <phoneticPr fontId="31" type="noConversion"/>
  </si>
  <si>
    <t>总金额</t>
    <phoneticPr fontId="31" type="noConversion"/>
  </si>
  <si>
    <t>售卖价格</t>
    <phoneticPr fontId="31" type="noConversion"/>
  </si>
  <si>
    <t>11.积分商城商品清单</t>
    <phoneticPr fontId="30" type="noConversion"/>
  </si>
  <si>
    <t>积分商城商品清单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</si>
</sst>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#,##0.00_);[Red]\(#,##0.00\)"/>
    <numFmt numFmtId="178" formatCode="0.000"/>
    <numFmt numFmtId="179" formatCode="0_);[Red]\(0\)"/>
    <numFmt numFmtId="180" formatCode="0_ "/>
  </numFmts>
  <fonts count="38">
    <font>
      <sz val="11"/>
      <color theme="1"/>
      <name val="宋体"/>
      <charset val="134"/>
      <scheme val="minor"/>
    </font>
    <font>
      <sz val="9"/>
      <color theme="1"/>
      <name val="仿宋"/>
      <charset val="134"/>
    </font>
    <font>
      <sz val="11"/>
      <color theme="1"/>
      <name val="仿宋"/>
      <charset val="134"/>
    </font>
    <font>
      <b/>
      <sz val="14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仿宋"/>
      <charset val="134"/>
    </font>
    <font>
      <b/>
      <sz val="11"/>
      <color indexed="8"/>
      <name val="仿宋"/>
      <charset val="134"/>
    </font>
    <font>
      <b/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indexed="8"/>
      <name val="仿宋"/>
      <charset val="134"/>
    </font>
    <font>
      <b/>
      <sz val="12"/>
      <color indexed="8"/>
      <name val="仿宋"/>
      <charset val="134"/>
    </font>
    <font>
      <sz val="10"/>
      <color indexed="8"/>
      <name val="仿宋"/>
      <charset val="134"/>
    </font>
    <font>
      <b/>
      <sz val="9"/>
      <color indexed="8"/>
      <name val="仿宋"/>
      <charset val="134"/>
    </font>
    <font>
      <b/>
      <sz val="14"/>
      <color indexed="8"/>
      <name val="仿宋"/>
      <charset val="134"/>
    </font>
    <font>
      <b/>
      <sz val="8"/>
      <color indexed="8"/>
      <name val="仿宋"/>
      <charset val="134"/>
    </font>
    <font>
      <b/>
      <sz val="9"/>
      <color theme="1"/>
      <name val="仿宋"/>
      <charset val="134"/>
    </font>
    <font>
      <sz val="10"/>
      <name val="仿宋"/>
      <charset val="134"/>
    </font>
    <font>
      <b/>
      <sz val="9"/>
      <name val="仿宋"/>
      <charset val="134"/>
    </font>
    <font>
      <b/>
      <sz val="11"/>
      <color theme="0"/>
      <name val="仿宋"/>
      <charset val="134"/>
    </font>
    <font>
      <sz val="12"/>
      <name val="FangSong"/>
      <charset val="134"/>
    </font>
    <font>
      <sz val="12"/>
      <name val="仿宋"/>
      <charset val="134"/>
    </font>
    <font>
      <b/>
      <sz val="16"/>
      <color indexed="8"/>
      <name val="仿宋"/>
      <charset val="134"/>
    </font>
    <font>
      <b/>
      <sz val="12"/>
      <name val="仿宋"/>
      <charset val="134"/>
    </font>
    <font>
      <b/>
      <sz val="18"/>
      <color rgb="FF076A74"/>
      <name val="仿宋"/>
      <charset val="134"/>
    </font>
    <font>
      <b/>
      <u/>
      <sz val="12"/>
      <color theme="10"/>
      <name val="FangSong"/>
      <charset val="134"/>
    </font>
    <font>
      <b/>
      <u/>
      <sz val="12"/>
      <color rgb="FF800080"/>
      <name val="FangSong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b/>
      <sz val="11"/>
      <color indexed="8"/>
      <name val="仿宋"/>
      <family val="3"/>
      <charset val="134"/>
    </font>
    <font>
      <sz val="10"/>
      <color theme="1"/>
      <name val="仿宋"/>
      <family val="3"/>
      <charset val="134"/>
    </font>
    <font>
      <b/>
      <sz val="10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6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8" fillId="0" borderId="0"/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/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0" xfId="0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Border="1" applyAlignment="1"/>
    <xf numFmtId="0" fontId="12" fillId="0" borderId="0" xfId="0" applyFont="1" applyBorder="1" applyAlignment="1">
      <alignment horizontal="left"/>
    </xf>
    <xf numFmtId="0" fontId="13" fillId="0" borderId="0" xfId="0" applyFont="1" applyBorder="1" applyAlignment="1"/>
    <xf numFmtId="0" fontId="13" fillId="0" borderId="0" xfId="0" applyFont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179" fontId="11" fillId="0" borderId="0" xfId="0" applyNumberFormat="1" applyFont="1">
      <alignment vertical="center"/>
    </xf>
    <xf numFmtId="0" fontId="11" fillId="2" borderId="0" xfId="0" applyFont="1" applyFill="1" applyAlignment="1">
      <alignment horizontal="left" vertical="center"/>
    </xf>
    <xf numFmtId="179" fontId="11" fillId="2" borderId="0" xfId="0" applyNumberFormat="1" applyFont="1" applyFill="1">
      <alignment vertical="center"/>
    </xf>
    <xf numFmtId="0" fontId="15" fillId="2" borderId="0" xfId="0" applyFont="1" applyFill="1" applyBorder="1" applyAlignment="1"/>
    <xf numFmtId="0" fontId="12" fillId="2" borderId="0" xfId="0" applyFont="1" applyFill="1" applyBorder="1" applyAlignment="1"/>
    <xf numFmtId="179" fontId="12" fillId="2" borderId="0" xfId="0" applyNumberFormat="1" applyFont="1" applyFill="1" applyBorder="1" applyAlignment="1"/>
    <xf numFmtId="0" fontId="13" fillId="2" borderId="0" xfId="0" applyFont="1" applyFill="1" applyBorder="1" applyAlignment="1"/>
    <xf numFmtId="179" fontId="13" fillId="2" borderId="0" xfId="0" applyNumberFormat="1" applyFont="1" applyFill="1" applyBorder="1" applyAlignment="1"/>
    <xf numFmtId="0" fontId="16" fillId="2" borderId="1" xfId="0" applyFont="1" applyFill="1" applyBorder="1" applyAlignment="1">
      <alignment horizontal="center" vertical="center"/>
    </xf>
    <xf numFmtId="179" fontId="16" fillId="2" borderId="1" xfId="0" applyNumberFormat="1" applyFont="1" applyFill="1" applyBorder="1" applyAlignment="1">
      <alignment horizontal="center" vertical="center"/>
    </xf>
    <xf numFmtId="179" fontId="17" fillId="2" borderId="1" xfId="0" applyNumberFormat="1" applyFont="1" applyFill="1" applyBorder="1" applyAlignment="1">
      <alignment horizontal="left" vertical="center" wrapText="1"/>
    </xf>
    <xf numFmtId="57" fontId="14" fillId="2" borderId="1" xfId="0" applyNumberFormat="1" applyFont="1" applyFill="1" applyBorder="1" applyAlignment="1">
      <alignment horizontal="left" vertical="center" wrapText="1"/>
    </xf>
    <xf numFmtId="179" fontId="18" fillId="2" borderId="1" xfId="2" applyNumberFormat="1" applyFont="1" applyFill="1" applyBorder="1" applyAlignment="1">
      <alignment horizontal="left" vertical="center"/>
    </xf>
    <xf numFmtId="179" fontId="13" fillId="2" borderId="1" xfId="0" applyNumberFormat="1" applyFont="1" applyFill="1" applyBorder="1" applyAlignment="1">
      <alignment horizontal="left" vertical="center"/>
    </xf>
    <xf numFmtId="179" fontId="18" fillId="2" borderId="1" xfId="0" applyNumberFormat="1" applyFont="1" applyFill="1" applyBorder="1" applyAlignment="1">
      <alignment horizontal="left" vertical="center"/>
    </xf>
    <xf numFmtId="179" fontId="11" fillId="0" borderId="0" xfId="0" applyNumberFormat="1" applyFont="1" applyAlignment="1">
      <alignment horizontal="left" vertical="center"/>
    </xf>
    <xf numFmtId="179" fontId="19" fillId="2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10" fontId="13" fillId="2" borderId="1" xfId="0" applyNumberFormat="1" applyFont="1" applyFill="1" applyBorder="1" applyAlignment="1">
      <alignment horizontal="left" vertical="center"/>
    </xf>
    <xf numFmtId="180" fontId="13" fillId="2" borderId="1" xfId="0" applyNumberFormat="1" applyFont="1" applyFill="1" applyBorder="1" applyAlignment="1">
      <alignment horizontal="left" vertical="center"/>
    </xf>
    <xf numFmtId="180" fontId="1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2" fillId="0" borderId="0" xfId="0" applyFont="1" applyAlignment="1">
      <alignment horizontal="right" vertical="center"/>
    </xf>
    <xf numFmtId="0" fontId="33" fillId="0" borderId="2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36" fillId="0" borderId="0" xfId="0" applyFont="1" applyFill="1" applyAlignment="1">
      <alignment vertical="center"/>
    </xf>
    <xf numFmtId="0" fontId="36" fillId="0" borderId="0" xfId="0" applyFont="1" applyFill="1" applyAlignment="1">
      <alignment vertical="center" wrapText="1"/>
    </xf>
    <xf numFmtId="4" fontId="36" fillId="0" borderId="0" xfId="0" applyNumberFormat="1" applyFont="1" applyFill="1" applyAlignment="1">
      <alignment vertical="center"/>
    </xf>
    <xf numFmtId="176" fontId="37" fillId="0" borderId="1" xfId="0" applyNumberFormat="1" applyFont="1" applyFill="1" applyBorder="1" applyAlignment="1">
      <alignment horizontal="center" vertical="center" wrapText="1"/>
    </xf>
    <xf numFmtId="177" fontId="37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vertical="center" wrapText="1"/>
    </xf>
    <xf numFmtId="0" fontId="36" fillId="0" borderId="1" xfId="0" applyFont="1" applyFill="1" applyBorder="1" applyAlignment="1">
      <alignment horizontal="left" vertical="center"/>
    </xf>
    <xf numFmtId="4" fontId="36" fillId="0" borderId="1" xfId="0" applyNumberFormat="1" applyFont="1" applyFill="1" applyBorder="1" applyAlignment="1">
      <alignment horizontal="center" vertical="center"/>
    </xf>
    <xf numFmtId="176" fontId="36" fillId="0" borderId="1" xfId="0" applyNumberFormat="1" applyFont="1" applyFill="1" applyBorder="1" applyAlignment="1">
      <alignment horizontal="center" vertical="center"/>
    </xf>
    <xf numFmtId="177" fontId="36" fillId="0" borderId="1" xfId="0" applyNumberFormat="1" applyFont="1" applyFill="1" applyBorder="1" applyAlignment="1">
      <alignment horizontal="center" vertical="center"/>
    </xf>
    <xf numFmtId="10" fontId="36" fillId="0" borderId="1" xfId="2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178" fontId="36" fillId="0" borderId="1" xfId="0" applyNumberFormat="1" applyFont="1" applyFill="1" applyBorder="1" applyAlignment="1">
      <alignment horizontal="center" vertical="center"/>
    </xf>
    <xf numFmtId="178" fontId="36" fillId="0" borderId="2" xfId="0" applyNumberFormat="1" applyFont="1" applyFill="1" applyBorder="1" applyAlignment="1">
      <alignment horizontal="center" vertical="center"/>
    </xf>
    <xf numFmtId="9" fontId="36" fillId="0" borderId="1" xfId="2" applyFont="1" applyFill="1" applyBorder="1" applyAlignment="1">
      <alignment horizontal="center" vertical="center"/>
    </xf>
    <xf numFmtId="4" fontId="36" fillId="0" borderId="1" xfId="0" applyNumberFormat="1" applyFont="1" applyFill="1" applyBorder="1" applyAlignment="1">
      <alignment vertical="center"/>
    </xf>
    <xf numFmtId="4" fontId="36" fillId="0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top"/>
    </xf>
    <xf numFmtId="0" fontId="20" fillId="3" borderId="2" xfId="0" applyFont="1" applyFill="1" applyBorder="1" applyAlignment="1">
      <alignment horizontal="left" vertical="center"/>
    </xf>
    <xf numFmtId="0" fontId="20" fillId="3" borderId="4" xfId="0" applyFont="1" applyFill="1" applyBorder="1" applyAlignment="1">
      <alignment horizontal="left" vertical="center"/>
    </xf>
    <xf numFmtId="0" fontId="20" fillId="3" borderId="5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31" fontId="14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33" fillId="0" borderId="2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top"/>
    </xf>
    <xf numFmtId="0" fontId="35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177" fontId="37" fillId="0" borderId="2" xfId="0" applyNumberFormat="1" applyFont="1" applyFill="1" applyBorder="1" applyAlignment="1">
      <alignment horizontal="center" vertical="center" wrapText="1"/>
    </xf>
    <xf numFmtId="177" fontId="37" fillId="0" borderId="1" xfId="0" applyNumberFormat="1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/>
    </xf>
    <xf numFmtId="177" fontId="37" fillId="0" borderId="6" xfId="0" applyNumberFormat="1" applyFont="1" applyFill="1" applyBorder="1" applyAlignment="1">
      <alignment horizontal="center" vertical="center" wrapText="1"/>
    </xf>
    <xf numFmtId="177" fontId="37" fillId="0" borderId="8" xfId="0" applyNumberFormat="1" applyFont="1" applyFill="1" applyBorder="1" applyAlignment="1">
      <alignment horizontal="center" vertical="center" wrapText="1"/>
    </xf>
    <xf numFmtId="176" fontId="37" fillId="0" borderId="1" xfId="0" applyNumberFormat="1" applyFont="1" applyFill="1" applyBorder="1" applyAlignment="1">
      <alignment horizontal="center" vertical="center" wrapText="1"/>
    </xf>
    <xf numFmtId="0" fontId="37" fillId="0" borderId="1" xfId="3" applyFont="1" applyFill="1" applyBorder="1" applyAlignment="1">
      <alignment horizontal="center" vertical="center" wrapText="1" readingOrder="1"/>
    </xf>
    <xf numFmtId="0" fontId="37" fillId="0" borderId="1" xfId="0" applyFont="1" applyFill="1" applyBorder="1" applyAlignment="1">
      <alignment horizontal="center" vertical="center" wrapText="1"/>
    </xf>
    <xf numFmtId="4" fontId="37" fillId="0" borderId="1" xfId="0" applyNumberFormat="1" applyFont="1" applyFill="1" applyBorder="1" applyAlignment="1">
      <alignment horizontal="center" vertical="center" wrapText="1"/>
    </xf>
  </cellXfs>
  <cellStyles count="4">
    <cellStyle name="百分比" xfId="2" builtinId="5"/>
    <cellStyle name="常规" xfId="0" builtinId="0"/>
    <cellStyle name="常规 2" xfId="3" xr:uid="{00000000-0005-0000-0000-000031000000}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523240</xdr:colOff>
      <xdr:row>3</xdr:row>
      <xdr:rowOff>71005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00040" cy="641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</xdr:colOff>
      <xdr:row>0</xdr:row>
      <xdr:rowOff>0</xdr:rowOff>
    </xdr:from>
    <xdr:to>
      <xdr:col>7</xdr:col>
      <xdr:colOff>361950</xdr:colOff>
      <xdr:row>1</xdr:row>
      <xdr:rowOff>127000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4959350" cy="698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546100</xdr:colOff>
      <xdr:row>3</xdr:row>
      <xdr:rowOff>120650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0400" cy="654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0</xdr:rowOff>
    </xdr:from>
    <xdr:to>
      <xdr:col>4</xdr:col>
      <xdr:colOff>1473200</xdr:colOff>
      <xdr:row>1</xdr:row>
      <xdr:rowOff>82550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0"/>
          <a:ext cx="4470400" cy="654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25400</xdr:colOff>
      <xdr:row>3</xdr:row>
      <xdr:rowOff>120650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0400" cy="654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0</xdr:rowOff>
    </xdr:from>
    <xdr:to>
      <xdr:col>6</xdr:col>
      <xdr:colOff>850900</xdr:colOff>
      <xdr:row>1</xdr:row>
      <xdr:rowOff>82550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4610100" cy="6540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0</xdr:row>
      <xdr:rowOff>209550</xdr:rowOff>
    </xdr:from>
    <xdr:to>
      <xdr:col>5</xdr:col>
      <xdr:colOff>685800</xdr:colOff>
      <xdr:row>0</xdr:row>
      <xdr:rowOff>209550</xdr:rowOff>
    </xdr:to>
    <xdr:pic>
      <xdr:nvPicPr>
        <xdr:cNvPr id="3" name="图片 2" descr="QQ截图20120927171009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26075" y="209550"/>
          <a:ext cx="47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224896</xdr:colOff>
      <xdr:row>0</xdr:row>
      <xdr:rowOff>0</xdr:rowOff>
    </xdr:from>
    <xdr:to>
      <xdr:col>5</xdr:col>
      <xdr:colOff>515938</xdr:colOff>
      <xdr:row>1</xdr:row>
      <xdr:rowOff>81883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9890" y="0"/>
          <a:ext cx="4913630" cy="6527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0</xdr:row>
      <xdr:rowOff>209550</xdr:rowOff>
    </xdr:from>
    <xdr:to>
      <xdr:col>6</xdr:col>
      <xdr:colOff>25400</xdr:colOff>
      <xdr:row>0</xdr:row>
      <xdr:rowOff>209550</xdr:rowOff>
    </xdr:to>
    <xdr:pic>
      <xdr:nvPicPr>
        <xdr:cNvPr id="3" name="图片 2" descr="QQ截图2012092717100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346575" y="209550"/>
          <a:ext cx="47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127001</xdr:colOff>
      <xdr:row>0</xdr:row>
      <xdr:rowOff>5291</xdr:rowOff>
    </xdr:from>
    <xdr:to>
      <xdr:col>6</xdr:col>
      <xdr:colOff>392183</xdr:colOff>
      <xdr:row>1</xdr:row>
      <xdr:rowOff>84528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5080"/>
          <a:ext cx="4468495" cy="6508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615950</xdr:colOff>
      <xdr:row>3</xdr:row>
      <xdr:rowOff>117337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5111750" cy="6502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177800</xdr:rowOff>
    </xdr:from>
    <xdr:to>
      <xdr:col>4</xdr:col>
      <xdr:colOff>657225</xdr:colOff>
      <xdr:row>0</xdr:row>
      <xdr:rowOff>177800</xdr:rowOff>
    </xdr:to>
    <xdr:pic>
      <xdr:nvPicPr>
        <xdr:cNvPr id="2" name="图片 1" descr="QQ截图20120927171009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43450" y="177800"/>
          <a:ext cx="47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127001</xdr:colOff>
      <xdr:row>0</xdr:row>
      <xdr:rowOff>5291</xdr:rowOff>
    </xdr:from>
    <xdr:to>
      <xdr:col>4</xdr:col>
      <xdr:colOff>671196</xdr:colOff>
      <xdr:row>2</xdr:row>
      <xdr:rowOff>148166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550" y="5080"/>
          <a:ext cx="4468495" cy="6508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177800</xdr:rowOff>
    </xdr:from>
    <xdr:to>
      <xdr:col>4</xdr:col>
      <xdr:colOff>657225</xdr:colOff>
      <xdr:row>0</xdr:row>
      <xdr:rowOff>177800</xdr:rowOff>
    </xdr:to>
    <xdr:pic>
      <xdr:nvPicPr>
        <xdr:cNvPr id="2" name="图片 1" descr="QQ截图20120927171009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743450" y="177800"/>
          <a:ext cx="47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127001</xdr:colOff>
      <xdr:row>0</xdr:row>
      <xdr:rowOff>5291</xdr:rowOff>
    </xdr:from>
    <xdr:to>
      <xdr:col>4</xdr:col>
      <xdr:colOff>671196</xdr:colOff>
      <xdr:row>2</xdr:row>
      <xdr:rowOff>148166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550" y="5080"/>
          <a:ext cx="4468495" cy="6508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20320</xdr:rowOff>
    </xdr:from>
    <xdr:to>
      <xdr:col>7</xdr:col>
      <xdr:colOff>207645</xdr:colOff>
      <xdr:row>3</xdr:row>
      <xdr:rowOff>137795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0320"/>
          <a:ext cx="4468495" cy="65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18"/>
  <sheetViews>
    <sheetView showGridLines="0" view="pageBreakPreview" zoomScale="110" zoomScaleNormal="100" workbookViewId="0">
      <selection activeCell="A18" sqref="A18"/>
    </sheetView>
  </sheetViews>
  <sheetFormatPr defaultColWidth="8.7265625" defaultRowHeight="15"/>
  <cols>
    <col min="1" max="16384" width="8.7265625" style="51"/>
  </cols>
  <sheetData>
    <row r="5" spans="1:1" ht="21">
      <c r="A5" s="52" t="s">
        <v>0</v>
      </c>
    </row>
    <row r="6" spans="1:1">
      <c r="A6" s="53"/>
    </row>
    <row r="7" spans="1:1" ht="23">
      <c r="A7" s="54" t="s">
        <v>1</v>
      </c>
    </row>
    <row r="8" spans="1:1" s="50" customFormat="1" ht="20" customHeight="1">
      <c r="A8" s="55" t="s">
        <v>2</v>
      </c>
    </row>
    <row r="9" spans="1:1" s="50" customFormat="1" ht="20" customHeight="1">
      <c r="A9" s="55" t="s">
        <v>3</v>
      </c>
    </row>
    <row r="10" spans="1:1" s="50" customFormat="1" ht="20" customHeight="1">
      <c r="A10" s="55" t="s">
        <v>4</v>
      </c>
    </row>
    <row r="11" spans="1:1" s="50" customFormat="1" ht="20" customHeight="1">
      <c r="A11" s="55" t="s">
        <v>5</v>
      </c>
    </row>
    <row r="12" spans="1:1" s="50" customFormat="1" ht="20" customHeight="1">
      <c r="A12" s="55" t="s">
        <v>6</v>
      </c>
    </row>
    <row r="13" spans="1:1" s="50" customFormat="1" ht="20" customHeight="1">
      <c r="A13" s="55" t="s">
        <v>7</v>
      </c>
    </row>
    <row r="14" spans="1:1" s="50" customFormat="1" ht="20" customHeight="1">
      <c r="A14" s="56" t="s">
        <v>8</v>
      </c>
    </row>
    <row r="15" spans="1:1" s="50" customFormat="1" ht="20" customHeight="1">
      <c r="A15" s="55" t="s">
        <v>9</v>
      </c>
    </row>
    <row r="16" spans="1:1" s="50" customFormat="1" ht="20" customHeight="1">
      <c r="A16" s="55" t="s">
        <v>10</v>
      </c>
    </row>
    <row r="17" spans="1:1" ht="20" customHeight="1">
      <c r="A17" s="55" t="s">
        <v>11</v>
      </c>
    </row>
    <row r="18" spans="1:1" ht="20" customHeight="1">
      <c r="A18" s="55" t="s">
        <v>148</v>
      </c>
    </row>
  </sheetData>
  <phoneticPr fontId="30" type="noConversion"/>
  <hyperlinks>
    <hyperlink ref="A9" location="'2.“心享”计划定期物料出库情况统计表'!A1" display="2.“心享”计划定期物料出库情况统计表" xr:uid="{00000000-0004-0000-0000-000000000000}"/>
    <hyperlink ref="A10" location="'港币-客房积分兑换登记表'!A1" display="3.“心享”计划相关物料邮寄信息（酒店）" xr:uid="{00000000-0004-0000-0000-000001000000}"/>
    <hyperlink ref="A8" location="'1.”心享“计划物料到货情况统计表'!A1" display="1.“心享”计划物料到货清单统计表" xr:uid="{00000000-0004-0000-0000-000002000000}"/>
    <hyperlink ref="A11" location="'4.“心享”计划相关物料分发名单'!A1" display="4.“心享”计划相关物料分发名单" xr:uid="{00000000-0004-0000-0000-000003000000}"/>
    <hyperlink ref="A12" location="'5.临时物料出库情况统计表'!A1" display="5.临时物料出库情况统计表" xr:uid="{00000000-0004-0000-0000-000004000000}"/>
    <hyperlink ref="A13" location="'6.补卡申请情况统计表'!A1" display="6.补卡申请情况统计表" xr:uid="{00000000-0004-0000-0000-000005000000}"/>
    <hyperlink ref="A14" location="'7.账户合并申请情况统计表'!A1" display="7.账户合并申请情况统计表" xr:uid="{00000000-0004-0000-0000-000006000000}"/>
    <hyperlink ref="A15" location="'8.申请表记录抽样报告'!A1" display="8.申请表记录抽样报告" xr:uid="{00000000-0004-0000-0000-000007000000}"/>
    <hyperlink ref="A16" location="'9.“心享”会员投诉积分奖励记录表'!A1" display="9.“心享”会员投诉积分奖励记录表" xr:uid="{00000000-0004-0000-0000-000008000000}"/>
    <hyperlink ref="A17" location="'10.合作供应商产品清单'!A1" display="10.合作供应商产品清单" xr:uid="{00000000-0004-0000-0000-000009000000}"/>
    <hyperlink ref="A18" location="'11.积分商城产品清单'!A1" display="11.积分商城产品清单" xr:uid="{00000000-0004-0000-0000-00000A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view="pageBreakPreview" zoomScaleNormal="100" workbookViewId="0">
      <pane xSplit="2" ySplit="5" topLeftCell="C11" activePane="bottomRight" state="frozen"/>
      <selection pane="topRight"/>
      <selection pane="bottomLeft"/>
      <selection pane="bottomRight"/>
    </sheetView>
  </sheetViews>
  <sheetFormatPr defaultColWidth="9" defaultRowHeight="16.5"/>
  <cols>
    <col min="1" max="1" width="0.90625" style="15" customWidth="1"/>
    <col min="2" max="2" width="18.7265625" style="14" customWidth="1"/>
    <col min="3" max="3" width="5.7265625" style="14" customWidth="1"/>
    <col min="4" max="4" width="13.7265625" style="14" customWidth="1"/>
    <col min="5" max="5" width="11.90625" style="14" customWidth="1"/>
    <col min="6" max="6" width="7.7265625" style="14" customWidth="1"/>
    <col min="7" max="8" width="10.6328125" style="14" customWidth="1"/>
    <col min="9" max="9" width="1.6328125" style="14" customWidth="1"/>
    <col min="10" max="16384" width="9" style="14"/>
  </cols>
  <sheetData>
    <row r="1" spans="1:9" ht="45" customHeight="1"/>
    <row r="2" spans="1:9" ht="20" customHeight="1"/>
    <row r="3" spans="1:9" ht="25.5" customHeight="1">
      <c r="B3" s="82" t="s">
        <v>12</v>
      </c>
      <c r="C3" s="82"/>
      <c r="D3" s="82"/>
      <c r="E3" s="82"/>
      <c r="F3" s="82"/>
      <c r="G3" s="82"/>
      <c r="H3" s="82"/>
      <c r="I3" s="2"/>
    </row>
    <row r="4" spans="1:9">
      <c r="A4" s="16"/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2"/>
    </row>
    <row r="5" spans="1:9" ht="20.149999999999999" customHeight="1">
      <c r="B5" s="83" t="s">
        <v>20</v>
      </c>
      <c r="C5" s="84"/>
      <c r="D5" s="84"/>
      <c r="E5" s="84"/>
      <c r="F5" s="84"/>
      <c r="G5" s="84"/>
      <c r="H5" s="85"/>
      <c r="I5" s="2"/>
    </row>
    <row r="6" spans="1:9">
      <c r="B6" s="8" t="s">
        <v>21</v>
      </c>
      <c r="C6" s="8"/>
      <c r="D6" s="8"/>
      <c r="E6" s="8"/>
      <c r="F6" s="8"/>
      <c r="G6" s="8"/>
      <c r="H6" s="8"/>
      <c r="I6" s="2"/>
    </row>
    <row r="7" spans="1:9">
      <c r="B7" s="8" t="s">
        <v>22</v>
      </c>
      <c r="C7" s="8"/>
      <c r="D7" s="8"/>
      <c r="E7" s="8"/>
      <c r="F7" s="8"/>
      <c r="G7" s="8"/>
      <c r="H7" s="8"/>
      <c r="I7" s="2"/>
    </row>
    <row r="8" spans="1:9" ht="20.149999999999999" customHeight="1">
      <c r="B8" s="83" t="s">
        <v>23</v>
      </c>
      <c r="C8" s="84"/>
      <c r="D8" s="84"/>
      <c r="E8" s="84"/>
      <c r="F8" s="84"/>
      <c r="G8" s="84"/>
      <c r="H8" s="85"/>
      <c r="I8" s="2"/>
    </row>
    <row r="9" spans="1:9">
      <c r="B9" s="8" t="s">
        <v>21</v>
      </c>
      <c r="C9" s="8"/>
      <c r="D9" s="8"/>
      <c r="E9" s="8"/>
      <c r="F9" s="8"/>
      <c r="G9" s="8"/>
      <c r="H9" s="8"/>
      <c r="I9" s="2"/>
    </row>
    <row r="10" spans="1:9">
      <c r="B10" s="8" t="s">
        <v>22</v>
      </c>
      <c r="C10" s="8"/>
      <c r="D10" s="8"/>
      <c r="E10" s="8"/>
      <c r="F10" s="8"/>
      <c r="G10" s="8"/>
      <c r="H10" s="8"/>
      <c r="I10" s="2"/>
    </row>
    <row r="11" spans="1:9" ht="20.149999999999999" customHeight="1">
      <c r="B11" s="83" t="s">
        <v>24</v>
      </c>
      <c r="C11" s="84"/>
      <c r="D11" s="84"/>
      <c r="E11" s="84"/>
      <c r="F11" s="84"/>
      <c r="G11" s="84"/>
      <c r="H11" s="85"/>
      <c r="I11" s="2"/>
    </row>
    <row r="12" spans="1:9">
      <c r="B12" s="8"/>
      <c r="C12" s="8"/>
      <c r="D12" s="8"/>
      <c r="E12" s="8"/>
      <c r="F12" s="8"/>
      <c r="G12" s="8"/>
      <c r="H12" s="8"/>
      <c r="I12" s="2"/>
    </row>
    <row r="13" spans="1:9">
      <c r="B13" s="8"/>
      <c r="C13" s="8"/>
      <c r="D13" s="8"/>
      <c r="E13" s="8"/>
      <c r="F13" s="8"/>
      <c r="G13" s="8"/>
      <c r="H13" s="8"/>
      <c r="I13" s="2"/>
    </row>
    <row r="14" spans="1:9">
      <c r="B14" s="8"/>
      <c r="C14" s="8"/>
      <c r="D14" s="8"/>
      <c r="E14" s="8"/>
      <c r="F14" s="8"/>
      <c r="G14" s="8"/>
      <c r="H14" s="8"/>
      <c r="I14" s="2"/>
    </row>
    <row r="15" spans="1:9">
      <c r="B15" s="8"/>
      <c r="C15" s="8"/>
      <c r="D15" s="8"/>
      <c r="E15" s="8"/>
      <c r="F15" s="8"/>
      <c r="G15" s="8"/>
      <c r="H15" s="8"/>
      <c r="I15" s="2"/>
    </row>
    <row r="16" spans="1:9">
      <c r="B16" s="8"/>
      <c r="C16" s="8"/>
      <c r="D16" s="8"/>
      <c r="E16" s="8"/>
      <c r="F16" s="8"/>
      <c r="G16" s="8"/>
      <c r="H16" s="8"/>
      <c r="I16" s="2"/>
    </row>
    <row r="17" spans="2:9" ht="20.149999999999999" customHeight="1">
      <c r="B17" s="83" t="s">
        <v>25</v>
      </c>
      <c r="C17" s="84"/>
      <c r="D17" s="84"/>
      <c r="E17" s="84"/>
      <c r="F17" s="84"/>
      <c r="G17" s="84"/>
      <c r="H17" s="85"/>
      <c r="I17" s="2"/>
    </row>
    <row r="18" spans="2:9">
      <c r="B18" s="8"/>
      <c r="C18" s="8"/>
      <c r="D18" s="8"/>
      <c r="E18" s="8"/>
      <c r="F18" s="8"/>
      <c r="G18" s="8"/>
      <c r="H18" s="8"/>
      <c r="I18" s="2"/>
    </row>
    <row r="19" spans="2:9">
      <c r="B19" s="8"/>
      <c r="C19" s="8"/>
      <c r="D19" s="8"/>
      <c r="E19" s="8"/>
      <c r="F19" s="8"/>
      <c r="G19" s="8"/>
      <c r="H19" s="8"/>
      <c r="I19" s="2"/>
    </row>
  </sheetData>
  <mergeCells count="5">
    <mergeCell ref="B3:H3"/>
    <mergeCell ref="B5:H5"/>
    <mergeCell ref="B8:H8"/>
    <mergeCell ref="B11:H11"/>
    <mergeCell ref="B17:H17"/>
  </mergeCells>
  <phoneticPr fontId="31" type="noConversion"/>
  <pageMargins left="0.63" right="0.45" top="0.46" bottom="0.44" header="0.33" footer="0.31496062992126"/>
  <pageSetup paperSize="9" scale="90" orientation="portrait" horizontalDpi="2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Q13"/>
  <sheetViews>
    <sheetView showGridLines="0" view="pageBreakPreview" zoomScale="115" zoomScaleNormal="100" workbookViewId="0">
      <selection activeCell="Q12" sqref="A1:Q12"/>
    </sheetView>
  </sheetViews>
  <sheetFormatPr defaultColWidth="26.26953125" defaultRowHeight="14"/>
  <cols>
    <col min="1" max="1" width="0.36328125" style="21" customWidth="1"/>
    <col min="2" max="2" width="3" style="21" customWidth="1"/>
    <col min="3" max="3" width="9.7265625" style="21" customWidth="1"/>
    <col min="4" max="4" width="5.6328125" style="21" customWidth="1"/>
    <col min="5" max="5" width="7" style="22" customWidth="1"/>
    <col min="6" max="6" width="7.08984375" style="22" customWidth="1"/>
    <col min="7" max="7" width="7.453125" style="29" customWidth="1"/>
    <col min="8" max="8" width="6.90625" style="21" customWidth="1"/>
    <col min="9" max="9" width="9" style="21" customWidth="1"/>
    <col min="10" max="10" width="9.6328125" style="21" customWidth="1"/>
    <col min="11" max="11" width="6.453125" style="21" customWidth="1"/>
    <col min="12" max="12" width="6.90625" style="21" customWidth="1"/>
    <col min="13" max="13" width="10.7265625" style="21" customWidth="1"/>
    <col min="14" max="15" width="9.6328125" style="21" customWidth="1"/>
    <col min="16" max="16" width="8.6328125" style="21" customWidth="1"/>
    <col min="17" max="204" width="9" style="21" customWidth="1"/>
    <col min="205" max="205" width="0.90625" style="21" customWidth="1"/>
    <col min="206" max="206" width="3.08984375" style="21" customWidth="1"/>
    <col min="207" max="207" width="3" style="21" customWidth="1"/>
    <col min="208" max="243" width="26.26953125" style="21"/>
    <col min="244" max="244" width="0.36328125" style="21" customWidth="1"/>
    <col min="245" max="245" width="3" style="21" customWidth="1"/>
    <col min="246" max="246" width="9.7265625" style="21" customWidth="1"/>
    <col min="247" max="247" width="5.6328125" style="21" customWidth="1"/>
    <col min="248" max="248" width="7" style="21" customWidth="1"/>
    <col min="249" max="249" width="7.08984375" style="21" customWidth="1"/>
    <col min="250" max="250" width="7.453125" style="21" customWidth="1"/>
    <col min="251" max="251" width="6.90625" style="21" customWidth="1"/>
    <col min="252" max="252" width="9" style="21" customWidth="1"/>
    <col min="253" max="253" width="9.6328125" style="21" customWidth="1"/>
    <col min="254" max="254" width="6.453125" style="21" customWidth="1"/>
    <col min="255" max="255" width="6.90625" style="21" customWidth="1"/>
    <col min="256" max="256" width="10.7265625" style="21" customWidth="1"/>
    <col min="257" max="258" width="9.6328125" style="21" customWidth="1"/>
    <col min="259" max="259" width="8.6328125" style="21" customWidth="1"/>
    <col min="260" max="260" width="6.90625" style="21" customWidth="1"/>
    <col min="261" max="265" width="26.26953125" style="21" hidden="1" customWidth="1"/>
    <col min="266" max="460" width="9" style="21" customWidth="1"/>
    <col min="461" max="461" width="0.90625" style="21" customWidth="1"/>
    <col min="462" max="462" width="3.08984375" style="21" customWidth="1"/>
    <col min="463" max="463" width="3" style="21" customWidth="1"/>
    <col min="464" max="499" width="26.26953125" style="21"/>
    <col min="500" max="500" width="0.36328125" style="21" customWidth="1"/>
    <col min="501" max="501" width="3" style="21" customWidth="1"/>
    <col min="502" max="502" width="9.7265625" style="21" customWidth="1"/>
    <col min="503" max="503" width="5.6328125" style="21" customWidth="1"/>
    <col min="504" max="504" width="7" style="21" customWidth="1"/>
    <col min="505" max="505" width="7.08984375" style="21" customWidth="1"/>
    <col min="506" max="506" width="7.453125" style="21" customWidth="1"/>
    <col min="507" max="507" width="6.90625" style="21" customWidth="1"/>
    <col min="508" max="508" width="9" style="21" customWidth="1"/>
    <col min="509" max="509" width="9.6328125" style="21" customWidth="1"/>
    <col min="510" max="510" width="6.453125" style="21" customWidth="1"/>
    <col min="511" max="511" width="6.90625" style="21" customWidth="1"/>
    <col min="512" max="512" width="10.7265625" style="21" customWidth="1"/>
    <col min="513" max="514" width="9.6328125" style="21" customWidth="1"/>
    <col min="515" max="515" width="8.6328125" style="21" customWidth="1"/>
    <col min="516" max="516" width="6.90625" style="21" customWidth="1"/>
    <col min="517" max="521" width="26.26953125" style="21" hidden="1" customWidth="1"/>
    <col min="522" max="716" width="9" style="21" customWidth="1"/>
    <col min="717" max="717" width="0.90625" style="21" customWidth="1"/>
    <col min="718" max="718" width="3.08984375" style="21" customWidth="1"/>
    <col min="719" max="719" width="3" style="21" customWidth="1"/>
    <col min="720" max="755" width="26.26953125" style="21"/>
    <col min="756" max="756" width="0.36328125" style="21" customWidth="1"/>
    <col min="757" max="757" width="3" style="21" customWidth="1"/>
    <col min="758" max="758" width="9.7265625" style="21" customWidth="1"/>
    <col min="759" max="759" width="5.6328125" style="21" customWidth="1"/>
    <col min="760" max="760" width="7" style="21" customWidth="1"/>
    <col min="761" max="761" width="7.08984375" style="21" customWidth="1"/>
    <col min="762" max="762" width="7.453125" style="21" customWidth="1"/>
    <col min="763" max="763" width="6.90625" style="21" customWidth="1"/>
    <col min="764" max="764" width="9" style="21" customWidth="1"/>
    <col min="765" max="765" width="9.6328125" style="21" customWidth="1"/>
    <col min="766" max="766" width="6.453125" style="21" customWidth="1"/>
    <col min="767" max="767" width="6.90625" style="21" customWidth="1"/>
    <col min="768" max="768" width="10.7265625" style="21" customWidth="1"/>
    <col min="769" max="770" width="9.6328125" style="21" customWidth="1"/>
    <col min="771" max="771" width="8.6328125" style="21" customWidth="1"/>
    <col min="772" max="772" width="6.90625" style="21" customWidth="1"/>
    <col min="773" max="777" width="26.26953125" style="21" hidden="1" customWidth="1"/>
    <col min="778" max="972" width="9" style="21" customWidth="1"/>
    <col min="973" max="973" width="0.90625" style="21" customWidth="1"/>
    <col min="974" max="974" width="3.08984375" style="21" customWidth="1"/>
    <col min="975" max="975" width="3" style="21" customWidth="1"/>
    <col min="976" max="1011" width="26.26953125" style="21"/>
    <col min="1012" max="1012" width="0.36328125" style="21" customWidth="1"/>
    <col min="1013" max="1013" width="3" style="21" customWidth="1"/>
    <col min="1014" max="1014" width="9.7265625" style="21" customWidth="1"/>
    <col min="1015" max="1015" width="5.6328125" style="21" customWidth="1"/>
    <col min="1016" max="1016" width="7" style="21" customWidth="1"/>
    <col min="1017" max="1017" width="7.08984375" style="21" customWidth="1"/>
    <col min="1018" max="1018" width="7.453125" style="21" customWidth="1"/>
    <col min="1019" max="1019" width="6.90625" style="21" customWidth="1"/>
    <col min="1020" max="1020" width="9" style="21" customWidth="1"/>
    <col min="1021" max="1021" width="9.6328125" style="21" customWidth="1"/>
    <col min="1022" max="1022" width="6.453125" style="21" customWidth="1"/>
    <col min="1023" max="1023" width="6.90625" style="21" customWidth="1"/>
    <col min="1024" max="1024" width="10.7265625" style="21" customWidth="1"/>
    <col min="1025" max="1026" width="9.6328125" style="21" customWidth="1"/>
    <col min="1027" max="1027" width="8.6328125" style="21" customWidth="1"/>
    <col min="1028" max="1028" width="6.90625" style="21" customWidth="1"/>
    <col min="1029" max="1033" width="26.26953125" style="21" hidden="1" customWidth="1"/>
    <col min="1034" max="1228" width="9" style="21" customWidth="1"/>
    <col min="1229" max="1229" width="0.90625" style="21" customWidth="1"/>
    <col min="1230" max="1230" width="3.08984375" style="21" customWidth="1"/>
    <col min="1231" max="1231" width="3" style="21" customWidth="1"/>
    <col min="1232" max="1267" width="26.26953125" style="21"/>
    <col min="1268" max="1268" width="0.36328125" style="21" customWidth="1"/>
    <col min="1269" max="1269" width="3" style="21" customWidth="1"/>
    <col min="1270" max="1270" width="9.7265625" style="21" customWidth="1"/>
    <col min="1271" max="1271" width="5.6328125" style="21" customWidth="1"/>
    <col min="1272" max="1272" width="7" style="21" customWidth="1"/>
    <col min="1273" max="1273" width="7.08984375" style="21" customWidth="1"/>
    <col min="1274" max="1274" width="7.453125" style="21" customWidth="1"/>
    <col min="1275" max="1275" width="6.90625" style="21" customWidth="1"/>
    <col min="1276" max="1276" width="9" style="21" customWidth="1"/>
    <col min="1277" max="1277" width="9.6328125" style="21" customWidth="1"/>
    <col min="1278" max="1278" width="6.453125" style="21" customWidth="1"/>
    <col min="1279" max="1279" width="6.90625" style="21" customWidth="1"/>
    <col min="1280" max="1280" width="10.7265625" style="21" customWidth="1"/>
    <col min="1281" max="1282" width="9.6328125" style="21" customWidth="1"/>
    <col min="1283" max="1283" width="8.6328125" style="21" customWidth="1"/>
    <col min="1284" max="1284" width="6.90625" style="21" customWidth="1"/>
    <col min="1285" max="1289" width="26.26953125" style="21" hidden="1" customWidth="1"/>
    <col min="1290" max="1484" width="9" style="21" customWidth="1"/>
    <col min="1485" max="1485" width="0.90625" style="21" customWidth="1"/>
    <col min="1486" max="1486" width="3.08984375" style="21" customWidth="1"/>
    <col min="1487" max="1487" width="3" style="21" customWidth="1"/>
    <col min="1488" max="1523" width="26.26953125" style="21"/>
    <col min="1524" max="1524" width="0.36328125" style="21" customWidth="1"/>
    <col min="1525" max="1525" width="3" style="21" customWidth="1"/>
    <col min="1526" max="1526" width="9.7265625" style="21" customWidth="1"/>
    <col min="1527" max="1527" width="5.6328125" style="21" customWidth="1"/>
    <col min="1528" max="1528" width="7" style="21" customWidth="1"/>
    <col min="1529" max="1529" width="7.08984375" style="21" customWidth="1"/>
    <col min="1530" max="1530" width="7.453125" style="21" customWidth="1"/>
    <col min="1531" max="1531" width="6.90625" style="21" customWidth="1"/>
    <col min="1532" max="1532" width="9" style="21" customWidth="1"/>
    <col min="1533" max="1533" width="9.6328125" style="21" customWidth="1"/>
    <col min="1534" max="1534" width="6.453125" style="21" customWidth="1"/>
    <col min="1535" max="1535" width="6.90625" style="21" customWidth="1"/>
    <col min="1536" max="1536" width="10.7265625" style="21" customWidth="1"/>
    <col min="1537" max="1538" width="9.6328125" style="21" customWidth="1"/>
    <col min="1539" max="1539" width="8.6328125" style="21" customWidth="1"/>
    <col min="1540" max="1540" width="6.90625" style="21" customWidth="1"/>
    <col min="1541" max="1545" width="26.26953125" style="21" hidden="1" customWidth="1"/>
    <col min="1546" max="1740" width="9" style="21" customWidth="1"/>
    <col min="1741" max="1741" width="0.90625" style="21" customWidth="1"/>
    <col min="1742" max="1742" width="3.08984375" style="21" customWidth="1"/>
    <col min="1743" max="1743" width="3" style="21" customWidth="1"/>
    <col min="1744" max="1779" width="26.26953125" style="21"/>
    <col min="1780" max="1780" width="0.36328125" style="21" customWidth="1"/>
    <col min="1781" max="1781" width="3" style="21" customWidth="1"/>
    <col min="1782" max="1782" width="9.7265625" style="21" customWidth="1"/>
    <col min="1783" max="1783" width="5.6328125" style="21" customWidth="1"/>
    <col min="1784" max="1784" width="7" style="21" customWidth="1"/>
    <col min="1785" max="1785" width="7.08984375" style="21" customWidth="1"/>
    <col min="1786" max="1786" width="7.453125" style="21" customWidth="1"/>
    <col min="1787" max="1787" width="6.90625" style="21" customWidth="1"/>
    <col min="1788" max="1788" width="9" style="21" customWidth="1"/>
    <col min="1789" max="1789" width="9.6328125" style="21" customWidth="1"/>
    <col min="1790" max="1790" width="6.453125" style="21" customWidth="1"/>
    <col min="1791" max="1791" width="6.90625" style="21" customWidth="1"/>
    <col min="1792" max="1792" width="10.7265625" style="21" customWidth="1"/>
    <col min="1793" max="1794" width="9.6328125" style="21" customWidth="1"/>
    <col min="1795" max="1795" width="8.6328125" style="21" customWidth="1"/>
    <col min="1796" max="1796" width="6.90625" style="21" customWidth="1"/>
    <col min="1797" max="1801" width="26.26953125" style="21" hidden="1" customWidth="1"/>
    <col min="1802" max="1996" width="9" style="21" customWidth="1"/>
    <col min="1997" max="1997" width="0.90625" style="21" customWidth="1"/>
    <col min="1998" max="1998" width="3.08984375" style="21" customWidth="1"/>
    <col min="1999" max="1999" width="3" style="21" customWidth="1"/>
    <col min="2000" max="2035" width="26.26953125" style="21"/>
    <col min="2036" max="2036" width="0.36328125" style="21" customWidth="1"/>
    <col min="2037" max="2037" width="3" style="21" customWidth="1"/>
    <col min="2038" max="2038" width="9.7265625" style="21" customWidth="1"/>
    <col min="2039" max="2039" width="5.6328125" style="21" customWidth="1"/>
    <col min="2040" max="2040" width="7" style="21" customWidth="1"/>
    <col min="2041" max="2041" width="7.08984375" style="21" customWidth="1"/>
    <col min="2042" max="2042" width="7.453125" style="21" customWidth="1"/>
    <col min="2043" max="2043" width="6.90625" style="21" customWidth="1"/>
    <col min="2044" max="2044" width="9" style="21" customWidth="1"/>
    <col min="2045" max="2045" width="9.6328125" style="21" customWidth="1"/>
    <col min="2046" max="2046" width="6.453125" style="21" customWidth="1"/>
    <col min="2047" max="2047" width="6.90625" style="21" customWidth="1"/>
    <col min="2048" max="2048" width="10.7265625" style="21" customWidth="1"/>
    <col min="2049" max="2050" width="9.6328125" style="21" customWidth="1"/>
    <col min="2051" max="2051" width="8.6328125" style="21" customWidth="1"/>
    <col min="2052" max="2052" width="6.90625" style="21" customWidth="1"/>
    <col min="2053" max="2057" width="26.26953125" style="21" hidden="1" customWidth="1"/>
    <col min="2058" max="2252" width="9" style="21" customWidth="1"/>
    <col min="2253" max="2253" width="0.90625" style="21" customWidth="1"/>
    <col min="2254" max="2254" width="3.08984375" style="21" customWidth="1"/>
    <col min="2255" max="2255" width="3" style="21" customWidth="1"/>
    <col min="2256" max="2291" width="26.26953125" style="21"/>
    <col min="2292" max="2292" width="0.36328125" style="21" customWidth="1"/>
    <col min="2293" max="2293" width="3" style="21" customWidth="1"/>
    <col min="2294" max="2294" width="9.7265625" style="21" customWidth="1"/>
    <col min="2295" max="2295" width="5.6328125" style="21" customWidth="1"/>
    <col min="2296" max="2296" width="7" style="21" customWidth="1"/>
    <col min="2297" max="2297" width="7.08984375" style="21" customWidth="1"/>
    <col min="2298" max="2298" width="7.453125" style="21" customWidth="1"/>
    <col min="2299" max="2299" width="6.90625" style="21" customWidth="1"/>
    <col min="2300" max="2300" width="9" style="21" customWidth="1"/>
    <col min="2301" max="2301" width="9.6328125" style="21" customWidth="1"/>
    <col min="2302" max="2302" width="6.453125" style="21" customWidth="1"/>
    <col min="2303" max="2303" width="6.90625" style="21" customWidth="1"/>
    <col min="2304" max="2304" width="10.7265625" style="21" customWidth="1"/>
    <col min="2305" max="2306" width="9.6328125" style="21" customWidth="1"/>
    <col min="2307" max="2307" width="8.6328125" style="21" customWidth="1"/>
    <col min="2308" max="2308" width="6.90625" style="21" customWidth="1"/>
    <col min="2309" max="2313" width="26.26953125" style="21" hidden="1" customWidth="1"/>
    <col min="2314" max="2508" width="9" style="21" customWidth="1"/>
    <col min="2509" max="2509" width="0.90625" style="21" customWidth="1"/>
    <col min="2510" max="2510" width="3.08984375" style="21" customWidth="1"/>
    <col min="2511" max="2511" width="3" style="21" customWidth="1"/>
    <col min="2512" max="2547" width="26.26953125" style="21"/>
    <col min="2548" max="2548" width="0.36328125" style="21" customWidth="1"/>
    <col min="2549" max="2549" width="3" style="21" customWidth="1"/>
    <col min="2550" max="2550" width="9.7265625" style="21" customWidth="1"/>
    <col min="2551" max="2551" width="5.6328125" style="21" customWidth="1"/>
    <col min="2552" max="2552" width="7" style="21" customWidth="1"/>
    <col min="2553" max="2553" width="7.08984375" style="21" customWidth="1"/>
    <col min="2554" max="2554" width="7.453125" style="21" customWidth="1"/>
    <col min="2555" max="2555" width="6.90625" style="21" customWidth="1"/>
    <col min="2556" max="2556" width="9" style="21" customWidth="1"/>
    <col min="2557" max="2557" width="9.6328125" style="21" customWidth="1"/>
    <col min="2558" max="2558" width="6.453125" style="21" customWidth="1"/>
    <col min="2559" max="2559" width="6.90625" style="21" customWidth="1"/>
    <col min="2560" max="2560" width="10.7265625" style="21" customWidth="1"/>
    <col min="2561" max="2562" width="9.6328125" style="21" customWidth="1"/>
    <col min="2563" max="2563" width="8.6328125" style="21" customWidth="1"/>
    <col min="2564" max="2564" width="6.90625" style="21" customWidth="1"/>
    <col min="2565" max="2569" width="26.26953125" style="21" hidden="1" customWidth="1"/>
    <col min="2570" max="2764" width="9" style="21" customWidth="1"/>
    <col min="2765" max="2765" width="0.90625" style="21" customWidth="1"/>
    <col min="2766" max="2766" width="3.08984375" style="21" customWidth="1"/>
    <col min="2767" max="2767" width="3" style="21" customWidth="1"/>
    <col min="2768" max="2803" width="26.26953125" style="21"/>
    <col min="2804" max="2804" width="0.36328125" style="21" customWidth="1"/>
    <col min="2805" max="2805" width="3" style="21" customWidth="1"/>
    <col min="2806" max="2806" width="9.7265625" style="21" customWidth="1"/>
    <col min="2807" max="2807" width="5.6328125" style="21" customWidth="1"/>
    <col min="2808" max="2808" width="7" style="21" customWidth="1"/>
    <col min="2809" max="2809" width="7.08984375" style="21" customWidth="1"/>
    <col min="2810" max="2810" width="7.453125" style="21" customWidth="1"/>
    <col min="2811" max="2811" width="6.90625" style="21" customWidth="1"/>
    <col min="2812" max="2812" width="9" style="21" customWidth="1"/>
    <col min="2813" max="2813" width="9.6328125" style="21" customWidth="1"/>
    <col min="2814" max="2814" width="6.453125" style="21" customWidth="1"/>
    <col min="2815" max="2815" width="6.90625" style="21" customWidth="1"/>
    <col min="2816" max="2816" width="10.7265625" style="21" customWidth="1"/>
    <col min="2817" max="2818" width="9.6328125" style="21" customWidth="1"/>
    <col min="2819" max="2819" width="8.6328125" style="21" customWidth="1"/>
    <col min="2820" max="2820" width="6.90625" style="21" customWidth="1"/>
    <col min="2821" max="2825" width="26.26953125" style="21" hidden="1" customWidth="1"/>
    <col min="2826" max="3020" width="9" style="21" customWidth="1"/>
    <col min="3021" max="3021" width="0.90625" style="21" customWidth="1"/>
    <col min="3022" max="3022" width="3.08984375" style="21" customWidth="1"/>
    <col min="3023" max="3023" width="3" style="21" customWidth="1"/>
    <col min="3024" max="3059" width="26.26953125" style="21"/>
    <col min="3060" max="3060" width="0.36328125" style="21" customWidth="1"/>
    <col min="3061" max="3061" width="3" style="21" customWidth="1"/>
    <col min="3062" max="3062" width="9.7265625" style="21" customWidth="1"/>
    <col min="3063" max="3063" width="5.6328125" style="21" customWidth="1"/>
    <col min="3064" max="3064" width="7" style="21" customWidth="1"/>
    <col min="3065" max="3065" width="7.08984375" style="21" customWidth="1"/>
    <col min="3066" max="3066" width="7.453125" style="21" customWidth="1"/>
    <col min="3067" max="3067" width="6.90625" style="21" customWidth="1"/>
    <col min="3068" max="3068" width="9" style="21" customWidth="1"/>
    <col min="3069" max="3069" width="9.6328125" style="21" customWidth="1"/>
    <col min="3070" max="3070" width="6.453125" style="21" customWidth="1"/>
    <col min="3071" max="3071" width="6.90625" style="21" customWidth="1"/>
    <col min="3072" max="3072" width="10.7265625" style="21" customWidth="1"/>
    <col min="3073" max="3074" width="9.6328125" style="21" customWidth="1"/>
    <col min="3075" max="3075" width="8.6328125" style="21" customWidth="1"/>
    <col min="3076" max="3076" width="6.90625" style="21" customWidth="1"/>
    <col min="3077" max="3081" width="26.26953125" style="21" hidden="1" customWidth="1"/>
    <col min="3082" max="3276" width="9" style="21" customWidth="1"/>
    <col min="3277" max="3277" width="0.90625" style="21" customWidth="1"/>
    <col min="3278" max="3278" width="3.08984375" style="21" customWidth="1"/>
    <col min="3279" max="3279" width="3" style="21" customWidth="1"/>
    <col min="3280" max="3315" width="26.26953125" style="21"/>
    <col min="3316" max="3316" width="0.36328125" style="21" customWidth="1"/>
    <col min="3317" max="3317" width="3" style="21" customWidth="1"/>
    <col min="3318" max="3318" width="9.7265625" style="21" customWidth="1"/>
    <col min="3319" max="3319" width="5.6328125" style="21" customWidth="1"/>
    <col min="3320" max="3320" width="7" style="21" customWidth="1"/>
    <col min="3321" max="3321" width="7.08984375" style="21" customWidth="1"/>
    <col min="3322" max="3322" width="7.453125" style="21" customWidth="1"/>
    <col min="3323" max="3323" width="6.90625" style="21" customWidth="1"/>
    <col min="3324" max="3324" width="9" style="21" customWidth="1"/>
    <col min="3325" max="3325" width="9.6328125" style="21" customWidth="1"/>
    <col min="3326" max="3326" width="6.453125" style="21" customWidth="1"/>
    <col min="3327" max="3327" width="6.90625" style="21" customWidth="1"/>
    <col min="3328" max="3328" width="10.7265625" style="21" customWidth="1"/>
    <col min="3329" max="3330" width="9.6328125" style="21" customWidth="1"/>
    <col min="3331" max="3331" width="8.6328125" style="21" customWidth="1"/>
    <col min="3332" max="3332" width="6.90625" style="21" customWidth="1"/>
    <col min="3333" max="3337" width="26.26953125" style="21" hidden="1" customWidth="1"/>
    <col min="3338" max="3532" width="9" style="21" customWidth="1"/>
    <col min="3533" max="3533" width="0.90625" style="21" customWidth="1"/>
    <col min="3534" max="3534" width="3.08984375" style="21" customWidth="1"/>
    <col min="3535" max="3535" width="3" style="21" customWidth="1"/>
    <col min="3536" max="3571" width="26.26953125" style="21"/>
    <col min="3572" max="3572" width="0.36328125" style="21" customWidth="1"/>
    <col min="3573" max="3573" width="3" style="21" customWidth="1"/>
    <col min="3574" max="3574" width="9.7265625" style="21" customWidth="1"/>
    <col min="3575" max="3575" width="5.6328125" style="21" customWidth="1"/>
    <col min="3576" max="3576" width="7" style="21" customWidth="1"/>
    <col min="3577" max="3577" width="7.08984375" style="21" customWidth="1"/>
    <col min="3578" max="3578" width="7.453125" style="21" customWidth="1"/>
    <col min="3579" max="3579" width="6.90625" style="21" customWidth="1"/>
    <col min="3580" max="3580" width="9" style="21" customWidth="1"/>
    <col min="3581" max="3581" width="9.6328125" style="21" customWidth="1"/>
    <col min="3582" max="3582" width="6.453125" style="21" customWidth="1"/>
    <col min="3583" max="3583" width="6.90625" style="21" customWidth="1"/>
    <col min="3584" max="3584" width="10.7265625" style="21" customWidth="1"/>
    <col min="3585" max="3586" width="9.6328125" style="21" customWidth="1"/>
    <col min="3587" max="3587" width="8.6328125" style="21" customWidth="1"/>
    <col min="3588" max="3588" width="6.90625" style="21" customWidth="1"/>
    <col min="3589" max="3593" width="26.26953125" style="21" hidden="1" customWidth="1"/>
    <col min="3594" max="3788" width="9" style="21" customWidth="1"/>
    <col min="3789" max="3789" width="0.90625" style="21" customWidth="1"/>
    <col min="3790" max="3790" width="3.08984375" style="21" customWidth="1"/>
    <col min="3791" max="3791" width="3" style="21" customWidth="1"/>
    <col min="3792" max="3827" width="26.26953125" style="21"/>
    <col min="3828" max="3828" width="0.36328125" style="21" customWidth="1"/>
    <col min="3829" max="3829" width="3" style="21" customWidth="1"/>
    <col min="3830" max="3830" width="9.7265625" style="21" customWidth="1"/>
    <col min="3831" max="3831" width="5.6328125" style="21" customWidth="1"/>
    <col min="3832" max="3832" width="7" style="21" customWidth="1"/>
    <col min="3833" max="3833" width="7.08984375" style="21" customWidth="1"/>
    <col min="3834" max="3834" width="7.453125" style="21" customWidth="1"/>
    <col min="3835" max="3835" width="6.90625" style="21" customWidth="1"/>
    <col min="3836" max="3836" width="9" style="21" customWidth="1"/>
    <col min="3837" max="3837" width="9.6328125" style="21" customWidth="1"/>
    <col min="3838" max="3838" width="6.453125" style="21" customWidth="1"/>
    <col min="3839" max="3839" width="6.90625" style="21" customWidth="1"/>
    <col min="3840" max="3840" width="10.7265625" style="21" customWidth="1"/>
    <col min="3841" max="3842" width="9.6328125" style="21" customWidth="1"/>
    <col min="3843" max="3843" width="8.6328125" style="21" customWidth="1"/>
    <col min="3844" max="3844" width="6.90625" style="21" customWidth="1"/>
    <col min="3845" max="3849" width="26.26953125" style="21" hidden="1" customWidth="1"/>
    <col min="3850" max="4044" width="9" style="21" customWidth="1"/>
    <col min="4045" max="4045" width="0.90625" style="21" customWidth="1"/>
    <col min="4046" max="4046" width="3.08984375" style="21" customWidth="1"/>
    <col min="4047" max="4047" width="3" style="21" customWidth="1"/>
    <col min="4048" max="4083" width="26.26953125" style="21"/>
    <col min="4084" max="4084" width="0.36328125" style="21" customWidth="1"/>
    <col min="4085" max="4085" width="3" style="21" customWidth="1"/>
    <col min="4086" max="4086" width="9.7265625" style="21" customWidth="1"/>
    <col min="4087" max="4087" width="5.6328125" style="21" customWidth="1"/>
    <col min="4088" max="4088" width="7" style="21" customWidth="1"/>
    <col min="4089" max="4089" width="7.08984375" style="21" customWidth="1"/>
    <col min="4090" max="4090" width="7.453125" style="21" customWidth="1"/>
    <col min="4091" max="4091" width="6.90625" style="21" customWidth="1"/>
    <col min="4092" max="4092" width="9" style="21" customWidth="1"/>
    <col min="4093" max="4093" width="9.6328125" style="21" customWidth="1"/>
    <col min="4094" max="4094" width="6.453125" style="21" customWidth="1"/>
    <col min="4095" max="4095" width="6.90625" style="21" customWidth="1"/>
    <col min="4096" max="4096" width="10.7265625" style="21" customWidth="1"/>
    <col min="4097" max="4098" width="9.6328125" style="21" customWidth="1"/>
    <col min="4099" max="4099" width="8.6328125" style="21" customWidth="1"/>
    <col min="4100" max="4100" width="6.90625" style="21" customWidth="1"/>
    <col min="4101" max="4105" width="26.26953125" style="21" hidden="1" customWidth="1"/>
    <col min="4106" max="4300" width="9" style="21" customWidth="1"/>
    <col min="4301" max="4301" width="0.90625" style="21" customWidth="1"/>
    <col min="4302" max="4302" width="3.08984375" style="21" customWidth="1"/>
    <col min="4303" max="4303" width="3" style="21" customWidth="1"/>
    <col min="4304" max="4339" width="26.26953125" style="21"/>
    <col min="4340" max="4340" width="0.36328125" style="21" customWidth="1"/>
    <col min="4341" max="4341" width="3" style="21" customWidth="1"/>
    <col min="4342" max="4342" width="9.7265625" style="21" customWidth="1"/>
    <col min="4343" max="4343" width="5.6328125" style="21" customWidth="1"/>
    <col min="4344" max="4344" width="7" style="21" customWidth="1"/>
    <col min="4345" max="4345" width="7.08984375" style="21" customWidth="1"/>
    <col min="4346" max="4346" width="7.453125" style="21" customWidth="1"/>
    <col min="4347" max="4347" width="6.90625" style="21" customWidth="1"/>
    <col min="4348" max="4348" width="9" style="21" customWidth="1"/>
    <col min="4349" max="4349" width="9.6328125" style="21" customWidth="1"/>
    <col min="4350" max="4350" width="6.453125" style="21" customWidth="1"/>
    <col min="4351" max="4351" width="6.90625" style="21" customWidth="1"/>
    <col min="4352" max="4352" width="10.7265625" style="21" customWidth="1"/>
    <col min="4353" max="4354" width="9.6328125" style="21" customWidth="1"/>
    <col min="4355" max="4355" width="8.6328125" style="21" customWidth="1"/>
    <col min="4356" max="4356" width="6.90625" style="21" customWidth="1"/>
    <col min="4357" max="4361" width="26.26953125" style="21" hidden="1" customWidth="1"/>
    <col min="4362" max="4556" width="9" style="21" customWidth="1"/>
    <col min="4557" max="4557" width="0.90625" style="21" customWidth="1"/>
    <col min="4558" max="4558" width="3.08984375" style="21" customWidth="1"/>
    <col min="4559" max="4559" width="3" style="21" customWidth="1"/>
    <col min="4560" max="4595" width="26.26953125" style="21"/>
    <col min="4596" max="4596" width="0.36328125" style="21" customWidth="1"/>
    <col min="4597" max="4597" width="3" style="21" customWidth="1"/>
    <col min="4598" max="4598" width="9.7265625" style="21" customWidth="1"/>
    <col min="4599" max="4599" width="5.6328125" style="21" customWidth="1"/>
    <col min="4600" max="4600" width="7" style="21" customWidth="1"/>
    <col min="4601" max="4601" width="7.08984375" style="21" customWidth="1"/>
    <col min="4602" max="4602" width="7.453125" style="21" customWidth="1"/>
    <col min="4603" max="4603" width="6.90625" style="21" customWidth="1"/>
    <col min="4604" max="4604" width="9" style="21" customWidth="1"/>
    <col min="4605" max="4605" width="9.6328125" style="21" customWidth="1"/>
    <col min="4606" max="4606" width="6.453125" style="21" customWidth="1"/>
    <col min="4607" max="4607" width="6.90625" style="21" customWidth="1"/>
    <col min="4608" max="4608" width="10.7265625" style="21" customWidth="1"/>
    <col min="4609" max="4610" width="9.6328125" style="21" customWidth="1"/>
    <col min="4611" max="4611" width="8.6328125" style="21" customWidth="1"/>
    <col min="4612" max="4612" width="6.90625" style="21" customWidth="1"/>
    <col min="4613" max="4617" width="26.26953125" style="21" hidden="1" customWidth="1"/>
    <col min="4618" max="4812" width="9" style="21" customWidth="1"/>
    <col min="4813" max="4813" width="0.90625" style="21" customWidth="1"/>
    <col min="4814" max="4814" width="3.08984375" style="21" customWidth="1"/>
    <col min="4815" max="4815" width="3" style="21" customWidth="1"/>
    <col min="4816" max="4851" width="26.26953125" style="21"/>
    <col min="4852" max="4852" width="0.36328125" style="21" customWidth="1"/>
    <col min="4853" max="4853" width="3" style="21" customWidth="1"/>
    <col min="4854" max="4854" width="9.7265625" style="21" customWidth="1"/>
    <col min="4855" max="4855" width="5.6328125" style="21" customWidth="1"/>
    <col min="4856" max="4856" width="7" style="21" customWidth="1"/>
    <col min="4857" max="4857" width="7.08984375" style="21" customWidth="1"/>
    <col min="4858" max="4858" width="7.453125" style="21" customWidth="1"/>
    <col min="4859" max="4859" width="6.90625" style="21" customWidth="1"/>
    <col min="4860" max="4860" width="9" style="21" customWidth="1"/>
    <col min="4861" max="4861" width="9.6328125" style="21" customWidth="1"/>
    <col min="4862" max="4862" width="6.453125" style="21" customWidth="1"/>
    <col min="4863" max="4863" width="6.90625" style="21" customWidth="1"/>
    <col min="4864" max="4864" width="10.7265625" style="21" customWidth="1"/>
    <col min="4865" max="4866" width="9.6328125" style="21" customWidth="1"/>
    <col min="4867" max="4867" width="8.6328125" style="21" customWidth="1"/>
    <col min="4868" max="4868" width="6.90625" style="21" customWidth="1"/>
    <col min="4869" max="4873" width="26.26953125" style="21" hidden="1" customWidth="1"/>
    <col min="4874" max="5068" width="9" style="21" customWidth="1"/>
    <col min="5069" max="5069" width="0.90625" style="21" customWidth="1"/>
    <col min="5070" max="5070" width="3.08984375" style="21" customWidth="1"/>
    <col min="5071" max="5071" width="3" style="21" customWidth="1"/>
    <col min="5072" max="5107" width="26.26953125" style="21"/>
    <col min="5108" max="5108" width="0.36328125" style="21" customWidth="1"/>
    <col min="5109" max="5109" width="3" style="21" customWidth="1"/>
    <col min="5110" max="5110" width="9.7265625" style="21" customWidth="1"/>
    <col min="5111" max="5111" width="5.6328125" style="21" customWidth="1"/>
    <col min="5112" max="5112" width="7" style="21" customWidth="1"/>
    <col min="5113" max="5113" width="7.08984375" style="21" customWidth="1"/>
    <col min="5114" max="5114" width="7.453125" style="21" customWidth="1"/>
    <col min="5115" max="5115" width="6.90625" style="21" customWidth="1"/>
    <col min="5116" max="5116" width="9" style="21" customWidth="1"/>
    <col min="5117" max="5117" width="9.6328125" style="21" customWidth="1"/>
    <col min="5118" max="5118" width="6.453125" style="21" customWidth="1"/>
    <col min="5119" max="5119" width="6.90625" style="21" customWidth="1"/>
    <col min="5120" max="5120" width="10.7265625" style="21" customWidth="1"/>
    <col min="5121" max="5122" width="9.6328125" style="21" customWidth="1"/>
    <col min="5123" max="5123" width="8.6328125" style="21" customWidth="1"/>
    <col min="5124" max="5124" width="6.90625" style="21" customWidth="1"/>
    <col min="5125" max="5129" width="26.26953125" style="21" hidden="1" customWidth="1"/>
    <col min="5130" max="5324" width="9" style="21" customWidth="1"/>
    <col min="5325" max="5325" width="0.90625" style="21" customWidth="1"/>
    <col min="5326" max="5326" width="3.08984375" style="21" customWidth="1"/>
    <col min="5327" max="5327" width="3" style="21" customWidth="1"/>
    <col min="5328" max="5363" width="26.26953125" style="21"/>
    <col min="5364" max="5364" width="0.36328125" style="21" customWidth="1"/>
    <col min="5365" max="5365" width="3" style="21" customWidth="1"/>
    <col min="5366" max="5366" width="9.7265625" style="21" customWidth="1"/>
    <col min="5367" max="5367" width="5.6328125" style="21" customWidth="1"/>
    <col min="5368" max="5368" width="7" style="21" customWidth="1"/>
    <col min="5369" max="5369" width="7.08984375" style="21" customWidth="1"/>
    <col min="5370" max="5370" width="7.453125" style="21" customWidth="1"/>
    <col min="5371" max="5371" width="6.90625" style="21" customWidth="1"/>
    <col min="5372" max="5372" width="9" style="21" customWidth="1"/>
    <col min="5373" max="5373" width="9.6328125" style="21" customWidth="1"/>
    <col min="5374" max="5374" width="6.453125" style="21" customWidth="1"/>
    <col min="5375" max="5375" width="6.90625" style="21" customWidth="1"/>
    <col min="5376" max="5376" width="10.7265625" style="21" customWidth="1"/>
    <col min="5377" max="5378" width="9.6328125" style="21" customWidth="1"/>
    <col min="5379" max="5379" width="8.6328125" style="21" customWidth="1"/>
    <col min="5380" max="5380" width="6.90625" style="21" customWidth="1"/>
    <col min="5381" max="5385" width="26.26953125" style="21" hidden="1" customWidth="1"/>
    <col min="5386" max="5580" width="9" style="21" customWidth="1"/>
    <col min="5581" max="5581" width="0.90625" style="21" customWidth="1"/>
    <col min="5582" max="5582" width="3.08984375" style="21" customWidth="1"/>
    <col min="5583" max="5583" width="3" style="21" customWidth="1"/>
    <col min="5584" max="5619" width="26.26953125" style="21"/>
    <col min="5620" max="5620" width="0.36328125" style="21" customWidth="1"/>
    <col min="5621" max="5621" width="3" style="21" customWidth="1"/>
    <col min="5622" max="5622" width="9.7265625" style="21" customWidth="1"/>
    <col min="5623" max="5623" width="5.6328125" style="21" customWidth="1"/>
    <col min="5624" max="5624" width="7" style="21" customWidth="1"/>
    <col min="5625" max="5625" width="7.08984375" style="21" customWidth="1"/>
    <col min="5626" max="5626" width="7.453125" style="21" customWidth="1"/>
    <col min="5627" max="5627" width="6.90625" style="21" customWidth="1"/>
    <col min="5628" max="5628" width="9" style="21" customWidth="1"/>
    <col min="5629" max="5629" width="9.6328125" style="21" customWidth="1"/>
    <col min="5630" max="5630" width="6.453125" style="21" customWidth="1"/>
    <col min="5631" max="5631" width="6.90625" style="21" customWidth="1"/>
    <col min="5632" max="5632" width="10.7265625" style="21" customWidth="1"/>
    <col min="5633" max="5634" width="9.6328125" style="21" customWidth="1"/>
    <col min="5635" max="5635" width="8.6328125" style="21" customWidth="1"/>
    <col min="5636" max="5636" width="6.90625" style="21" customWidth="1"/>
    <col min="5637" max="5641" width="26.26953125" style="21" hidden="1" customWidth="1"/>
    <col min="5642" max="5836" width="9" style="21" customWidth="1"/>
    <col min="5837" max="5837" width="0.90625" style="21" customWidth="1"/>
    <col min="5838" max="5838" width="3.08984375" style="21" customWidth="1"/>
    <col min="5839" max="5839" width="3" style="21" customWidth="1"/>
    <col min="5840" max="5875" width="26.26953125" style="21"/>
    <col min="5876" max="5876" width="0.36328125" style="21" customWidth="1"/>
    <col min="5877" max="5877" width="3" style="21" customWidth="1"/>
    <col min="5878" max="5878" width="9.7265625" style="21" customWidth="1"/>
    <col min="5879" max="5879" width="5.6328125" style="21" customWidth="1"/>
    <col min="5880" max="5880" width="7" style="21" customWidth="1"/>
    <col min="5881" max="5881" width="7.08984375" style="21" customWidth="1"/>
    <col min="5882" max="5882" width="7.453125" style="21" customWidth="1"/>
    <col min="5883" max="5883" width="6.90625" style="21" customWidth="1"/>
    <col min="5884" max="5884" width="9" style="21" customWidth="1"/>
    <col min="5885" max="5885" width="9.6328125" style="21" customWidth="1"/>
    <col min="5886" max="5886" width="6.453125" style="21" customWidth="1"/>
    <col min="5887" max="5887" width="6.90625" style="21" customWidth="1"/>
    <col min="5888" max="5888" width="10.7265625" style="21" customWidth="1"/>
    <col min="5889" max="5890" width="9.6328125" style="21" customWidth="1"/>
    <col min="5891" max="5891" width="8.6328125" style="21" customWidth="1"/>
    <col min="5892" max="5892" width="6.90625" style="21" customWidth="1"/>
    <col min="5893" max="5897" width="26.26953125" style="21" hidden="1" customWidth="1"/>
    <col min="5898" max="6092" width="9" style="21" customWidth="1"/>
    <col min="6093" max="6093" width="0.90625" style="21" customWidth="1"/>
    <col min="6094" max="6094" width="3.08984375" style="21" customWidth="1"/>
    <col min="6095" max="6095" width="3" style="21" customWidth="1"/>
    <col min="6096" max="6131" width="26.26953125" style="21"/>
    <col min="6132" max="6132" width="0.36328125" style="21" customWidth="1"/>
    <col min="6133" max="6133" width="3" style="21" customWidth="1"/>
    <col min="6134" max="6134" width="9.7265625" style="21" customWidth="1"/>
    <col min="6135" max="6135" width="5.6328125" style="21" customWidth="1"/>
    <col min="6136" max="6136" width="7" style="21" customWidth="1"/>
    <col min="6137" max="6137" width="7.08984375" style="21" customWidth="1"/>
    <col min="6138" max="6138" width="7.453125" style="21" customWidth="1"/>
    <col min="6139" max="6139" width="6.90625" style="21" customWidth="1"/>
    <col min="6140" max="6140" width="9" style="21" customWidth="1"/>
    <col min="6141" max="6141" width="9.6328125" style="21" customWidth="1"/>
    <col min="6142" max="6142" width="6.453125" style="21" customWidth="1"/>
    <col min="6143" max="6143" width="6.90625" style="21" customWidth="1"/>
    <col min="6144" max="6144" width="10.7265625" style="21" customWidth="1"/>
    <col min="6145" max="6146" width="9.6328125" style="21" customWidth="1"/>
    <col min="6147" max="6147" width="8.6328125" style="21" customWidth="1"/>
    <col min="6148" max="6148" width="6.90625" style="21" customWidth="1"/>
    <col min="6149" max="6153" width="26.26953125" style="21" hidden="1" customWidth="1"/>
    <col min="6154" max="6348" width="9" style="21" customWidth="1"/>
    <col min="6349" max="6349" width="0.90625" style="21" customWidth="1"/>
    <col min="6350" max="6350" width="3.08984375" style="21" customWidth="1"/>
    <col min="6351" max="6351" width="3" style="21" customWidth="1"/>
    <col min="6352" max="6387" width="26.26953125" style="21"/>
    <col min="6388" max="6388" width="0.36328125" style="21" customWidth="1"/>
    <col min="6389" max="6389" width="3" style="21" customWidth="1"/>
    <col min="6390" max="6390" width="9.7265625" style="21" customWidth="1"/>
    <col min="6391" max="6391" width="5.6328125" style="21" customWidth="1"/>
    <col min="6392" max="6392" width="7" style="21" customWidth="1"/>
    <col min="6393" max="6393" width="7.08984375" style="21" customWidth="1"/>
    <col min="6394" max="6394" width="7.453125" style="21" customWidth="1"/>
    <col min="6395" max="6395" width="6.90625" style="21" customWidth="1"/>
    <col min="6396" max="6396" width="9" style="21" customWidth="1"/>
    <col min="6397" max="6397" width="9.6328125" style="21" customWidth="1"/>
    <col min="6398" max="6398" width="6.453125" style="21" customWidth="1"/>
    <col min="6399" max="6399" width="6.90625" style="21" customWidth="1"/>
    <col min="6400" max="6400" width="10.7265625" style="21" customWidth="1"/>
    <col min="6401" max="6402" width="9.6328125" style="21" customWidth="1"/>
    <col min="6403" max="6403" width="8.6328125" style="21" customWidth="1"/>
    <col min="6404" max="6404" width="6.90625" style="21" customWidth="1"/>
    <col min="6405" max="6409" width="26.26953125" style="21" hidden="1" customWidth="1"/>
    <col min="6410" max="6604" width="9" style="21" customWidth="1"/>
    <col min="6605" max="6605" width="0.90625" style="21" customWidth="1"/>
    <col min="6606" max="6606" width="3.08984375" style="21" customWidth="1"/>
    <col min="6607" max="6607" width="3" style="21" customWidth="1"/>
    <col min="6608" max="6643" width="26.26953125" style="21"/>
    <col min="6644" max="6644" width="0.36328125" style="21" customWidth="1"/>
    <col min="6645" max="6645" width="3" style="21" customWidth="1"/>
    <col min="6646" max="6646" width="9.7265625" style="21" customWidth="1"/>
    <col min="6647" max="6647" width="5.6328125" style="21" customWidth="1"/>
    <col min="6648" max="6648" width="7" style="21" customWidth="1"/>
    <col min="6649" max="6649" width="7.08984375" style="21" customWidth="1"/>
    <col min="6650" max="6650" width="7.453125" style="21" customWidth="1"/>
    <col min="6651" max="6651" width="6.90625" style="21" customWidth="1"/>
    <col min="6652" max="6652" width="9" style="21" customWidth="1"/>
    <col min="6653" max="6653" width="9.6328125" style="21" customWidth="1"/>
    <col min="6654" max="6654" width="6.453125" style="21" customWidth="1"/>
    <col min="6655" max="6655" width="6.90625" style="21" customWidth="1"/>
    <col min="6656" max="6656" width="10.7265625" style="21" customWidth="1"/>
    <col min="6657" max="6658" width="9.6328125" style="21" customWidth="1"/>
    <col min="6659" max="6659" width="8.6328125" style="21" customWidth="1"/>
    <col min="6660" max="6660" width="6.90625" style="21" customWidth="1"/>
    <col min="6661" max="6665" width="26.26953125" style="21" hidden="1" customWidth="1"/>
    <col min="6666" max="6860" width="9" style="21" customWidth="1"/>
    <col min="6861" max="6861" width="0.90625" style="21" customWidth="1"/>
    <col min="6862" max="6862" width="3.08984375" style="21" customWidth="1"/>
    <col min="6863" max="6863" width="3" style="21" customWidth="1"/>
    <col min="6864" max="6899" width="26.26953125" style="21"/>
    <col min="6900" max="6900" width="0.36328125" style="21" customWidth="1"/>
    <col min="6901" max="6901" width="3" style="21" customWidth="1"/>
    <col min="6902" max="6902" width="9.7265625" style="21" customWidth="1"/>
    <col min="6903" max="6903" width="5.6328125" style="21" customWidth="1"/>
    <col min="6904" max="6904" width="7" style="21" customWidth="1"/>
    <col min="6905" max="6905" width="7.08984375" style="21" customWidth="1"/>
    <col min="6906" max="6906" width="7.453125" style="21" customWidth="1"/>
    <col min="6907" max="6907" width="6.90625" style="21" customWidth="1"/>
    <col min="6908" max="6908" width="9" style="21" customWidth="1"/>
    <col min="6909" max="6909" width="9.6328125" style="21" customWidth="1"/>
    <col min="6910" max="6910" width="6.453125" style="21" customWidth="1"/>
    <col min="6911" max="6911" width="6.90625" style="21" customWidth="1"/>
    <col min="6912" max="6912" width="10.7265625" style="21" customWidth="1"/>
    <col min="6913" max="6914" width="9.6328125" style="21" customWidth="1"/>
    <col min="6915" max="6915" width="8.6328125" style="21" customWidth="1"/>
    <col min="6916" max="6916" width="6.90625" style="21" customWidth="1"/>
    <col min="6917" max="6921" width="26.26953125" style="21" hidden="1" customWidth="1"/>
    <col min="6922" max="7116" width="9" style="21" customWidth="1"/>
    <col min="7117" max="7117" width="0.90625" style="21" customWidth="1"/>
    <col min="7118" max="7118" width="3.08984375" style="21" customWidth="1"/>
    <col min="7119" max="7119" width="3" style="21" customWidth="1"/>
    <col min="7120" max="7155" width="26.26953125" style="21"/>
    <col min="7156" max="7156" width="0.36328125" style="21" customWidth="1"/>
    <col min="7157" max="7157" width="3" style="21" customWidth="1"/>
    <col min="7158" max="7158" width="9.7265625" style="21" customWidth="1"/>
    <col min="7159" max="7159" width="5.6328125" style="21" customWidth="1"/>
    <col min="7160" max="7160" width="7" style="21" customWidth="1"/>
    <col min="7161" max="7161" width="7.08984375" style="21" customWidth="1"/>
    <col min="7162" max="7162" width="7.453125" style="21" customWidth="1"/>
    <col min="7163" max="7163" width="6.90625" style="21" customWidth="1"/>
    <col min="7164" max="7164" width="9" style="21" customWidth="1"/>
    <col min="7165" max="7165" width="9.6328125" style="21" customWidth="1"/>
    <col min="7166" max="7166" width="6.453125" style="21" customWidth="1"/>
    <col min="7167" max="7167" width="6.90625" style="21" customWidth="1"/>
    <col min="7168" max="7168" width="10.7265625" style="21" customWidth="1"/>
    <col min="7169" max="7170" width="9.6328125" style="21" customWidth="1"/>
    <col min="7171" max="7171" width="8.6328125" style="21" customWidth="1"/>
    <col min="7172" max="7172" width="6.90625" style="21" customWidth="1"/>
    <col min="7173" max="7177" width="26.26953125" style="21" hidden="1" customWidth="1"/>
    <col min="7178" max="7372" width="9" style="21" customWidth="1"/>
    <col min="7373" max="7373" width="0.90625" style="21" customWidth="1"/>
    <col min="7374" max="7374" width="3.08984375" style="21" customWidth="1"/>
    <col min="7375" max="7375" width="3" style="21" customWidth="1"/>
    <col min="7376" max="7411" width="26.26953125" style="21"/>
    <col min="7412" max="7412" width="0.36328125" style="21" customWidth="1"/>
    <col min="7413" max="7413" width="3" style="21" customWidth="1"/>
    <col min="7414" max="7414" width="9.7265625" style="21" customWidth="1"/>
    <col min="7415" max="7415" width="5.6328125" style="21" customWidth="1"/>
    <col min="7416" max="7416" width="7" style="21" customWidth="1"/>
    <col min="7417" max="7417" width="7.08984375" style="21" customWidth="1"/>
    <col min="7418" max="7418" width="7.453125" style="21" customWidth="1"/>
    <col min="7419" max="7419" width="6.90625" style="21" customWidth="1"/>
    <col min="7420" max="7420" width="9" style="21" customWidth="1"/>
    <col min="7421" max="7421" width="9.6328125" style="21" customWidth="1"/>
    <col min="7422" max="7422" width="6.453125" style="21" customWidth="1"/>
    <col min="7423" max="7423" width="6.90625" style="21" customWidth="1"/>
    <col min="7424" max="7424" width="10.7265625" style="21" customWidth="1"/>
    <col min="7425" max="7426" width="9.6328125" style="21" customWidth="1"/>
    <col min="7427" max="7427" width="8.6328125" style="21" customWidth="1"/>
    <col min="7428" max="7428" width="6.90625" style="21" customWidth="1"/>
    <col min="7429" max="7433" width="26.26953125" style="21" hidden="1" customWidth="1"/>
    <col min="7434" max="7628" width="9" style="21" customWidth="1"/>
    <col min="7629" max="7629" width="0.90625" style="21" customWidth="1"/>
    <col min="7630" max="7630" width="3.08984375" style="21" customWidth="1"/>
    <col min="7631" max="7631" width="3" style="21" customWidth="1"/>
    <col min="7632" max="7667" width="26.26953125" style="21"/>
    <col min="7668" max="7668" width="0.36328125" style="21" customWidth="1"/>
    <col min="7669" max="7669" width="3" style="21" customWidth="1"/>
    <col min="7670" max="7670" width="9.7265625" style="21" customWidth="1"/>
    <col min="7671" max="7671" width="5.6328125" style="21" customWidth="1"/>
    <col min="7672" max="7672" width="7" style="21" customWidth="1"/>
    <col min="7673" max="7673" width="7.08984375" style="21" customWidth="1"/>
    <col min="7674" max="7674" width="7.453125" style="21" customWidth="1"/>
    <col min="7675" max="7675" width="6.90625" style="21" customWidth="1"/>
    <col min="7676" max="7676" width="9" style="21" customWidth="1"/>
    <col min="7677" max="7677" width="9.6328125" style="21" customWidth="1"/>
    <col min="7678" max="7678" width="6.453125" style="21" customWidth="1"/>
    <col min="7679" max="7679" width="6.90625" style="21" customWidth="1"/>
    <col min="7680" max="7680" width="10.7265625" style="21" customWidth="1"/>
    <col min="7681" max="7682" width="9.6328125" style="21" customWidth="1"/>
    <col min="7683" max="7683" width="8.6328125" style="21" customWidth="1"/>
    <col min="7684" max="7684" width="6.90625" style="21" customWidth="1"/>
    <col min="7685" max="7689" width="26.26953125" style="21" hidden="1" customWidth="1"/>
    <col min="7690" max="7884" width="9" style="21" customWidth="1"/>
    <col min="7885" max="7885" width="0.90625" style="21" customWidth="1"/>
    <col min="7886" max="7886" width="3.08984375" style="21" customWidth="1"/>
    <col min="7887" max="7887" width="3" style="21" customWidth="1"/>
    <col min="7888" max="7923" width="26.26953125" style="21"/>
    <col min="7924" max="7924" width="0.36328125" style="21" customWidth="1"/>
    <col min="7925" max="7925" width="3" style="21" customWidth="1"/>
    <col min="7926" max="7926" width="9.7265625" style="21" customWidth="1"/>
    <col min="7927" max="7927" width="5.6328125" style="21" customWidth="1"/>
    <col min="7928" max="7928" width="7" style="21" customWidth="1"/>
    <col min="7929" max="7929" width="7.08984375" style="21" customWidth="1"/>
    <col min="7930" max="7930" width="7.453125" style="21" customWidth="1"/>
    <col min="7931" max="7931" width="6.90625" style="21" customWidth="1"/>
    <col min="7932" max="7932" width="9" style="21" customWidth="1"/>
    <col min="7933" max="7933" width="9.6328125" style="21" customWidth="1"/>
    <col min="7934" max="7934" width="6.453125" style="21" customWidth="1"/>
    <col min="7935" max="7935" width="6.90625" style="21" customWidth="1"/>
    <col min="7936" max="7936" width="10.7265625" style="21" customWidth="1"/>
    <col min="7937" max="7938" width="9.6328125" style="21" customWidth="1"/>
    <col min="7939" max="7939" width="8.6328125" style="21" customWidth="1"/>
    <col min="7940" max="7940" width="6.90625" style="21" customWidth="1"/>
    <col min="7941" max="7945" width="26.26953125" style="21" hidden="1" customWidth="1"/>
    <col min="7946" max="8140" width="9" style="21" customWidth="1"/>
    <col min="8141" max="8141" width="0.90625" style="21" customWidth="1"/>
    <col min="8142" max="8142" width="3.08984375" style="21" customWidth="1"/>
    <col min="8143" max="8143" width="3" style="21" customWidth="1"/>
    <col min="8144" max="8179" width="26.26953125" style="21"/>
    <col min="8180" max="8180" width="0.36328125" style="21" customWidth="1"/>
    <col min="8181" max="8181" width="3" style="21" customWidth="1"/>
    <col min="8182" max="8182" width="9.7265625" style="21" customWidth="1"/>
    <col min="8183" max="8183" width="5.6328125" style="21" customWidth="1"/>
    <col min="8184" max="8184" width="7" style="21" customWidth="1"/>
    <col min="8185" max="8185" width="7.08984375" style="21" customWidth="1"/>
    <col min="8186" max="8186" width="7.453125" style="21" customWidth="1"/>
    <col min="8187" max="8187" width="6.90625" style="21" customWidth="1"/>
    <col min="8188" max="8188" width="9" style="21" customWidth="1"/>
    <col min="8189" max="8189" width="9.6328125" style="21" customWidth="1"/>
    <col min="8190" max="8190" width="6.453125" style="21" customWidth="1"/>
    <col min="8191" max="8191" width="6.90625" style="21" customWidth="1"/>
    <col min="8192" max="8192" width="10.7265625" style="21" customWidth="1"/>
    <col min="8193" max="8194" width="9.6328125" style="21" customWidth="1"/>
    <col min="8195" max="8195" width="8.6328125" style="21" customWidth="1"/>
    <col min="8196" max="8196" width="6.90625" style="21" customWidth="1"/>
    <col min="8197" max="8201" width="26.26953125" style="21" hidden="1" customWidth="1"/>
    <col min="8202" max="8396" width="9" style="21" customWidth="1"/>
    <col min="8397" max="8397" width="0.90625" style="21" customWidth="1"/>
    <col min="8398" max="8398" width="3.08984375" style="21" customWidth="1"/>
    <col min="8399" max="8399" width="3" style="21" customWidth="1"/>
    <col min="8400" max="8435" width="26.26953125" style="21"/>
    <col min="8436" max="8436" width="0.36328125" style="21" customWidth="1"/>
    <col min="8437" max="8437" width="3" style="21" customWidth="1"/>
    <col min="8438" max="8438" width="9.7265625" style="21" customWidth="1"/>
    <col min="8439" max="8439" width="5.6328125" style="21" customWidth="1"/>
    <col min="8440" max="8440" width="7" style="21" customWidth="1"/>
    <col min="8441" max="8441" width="7.08984375" style="21" customWidth="1"/>
    <col min="8442" max="8442" width="7.453125" style="21" customWidth="1"/>
    <col min="8443" max="8443" width="6.90625" style="21" customWidth="1"/>
    <col min="8444" max="8444" width="9" style="21" customWidth="1"/>
    <col min="8445" max="8445" width="9.6328125" style="21" customWidth="1"/>
    <col min="8446" max="8446" width="6.453125" style="21" customWidth="1"/>
    <col min="8447" max="8447" width="6.90625" style="21" customWidth="1"/>
    <col min="8448" max="8448" width="10.7265625" style="21" customWidth="1"/>
    <col min="8449" max="8450" width="9.6328125" style="21" customWidth="1"/>
    <col min="8451" max="8451" width="8.6328125" style="21" customWidth="1"/>
    <col min="8452" max="8452" width="6.90625" style="21" customWidth="1"/>
    <col min="8453" max="8457" width="26.26953125" style="21" hidden="1" customWidth="1"/>
    <col min="8458" max="8652" width="9" style="21" customWidth="1"/>
    <col min="8653" max="8653" width="0.90625" style="21" customWidth="1"/>
    <col min="8654" max="8654" width="3.08984375" style="21" customWidth="1"/>
    <col min="8655" max="8655" width="3" style="21" customWidth="1"/>
    <col min="8656" max="8691" width="26.26953125" style="21"/>
    <col min="8692" max="8692" width="0.36328125" style="21" customWidth="1"/>
    <col min="8693" max="8693" width="3" style="21" customWidth="1"/>
    <col min="8694" max="8694" width="9.7265625" style="21" customWidth="1"/>
    <col min="8695" max="8695" width="5.6328125" style="21" customWidth="1"/>
    <col min="8696" max="8696" width="7" style="21" customWidth="1"/>
    <col min="8697" max="8697" width="7.08984375" style="21" customWidth="1"/>
    <col min="8698" max="8698" width="7.453125" style="21" customWidth="1"/>
    <col min="8699" max="8699" width="6.90625" style="21" customWidth="1"/>
    <col min="8700" max="8700" width="9" style="21" customWidth="1"/>
    <col min="8701" max="8701" width="9.6328125" style="21" customWidth="1"/>
    <col min="8702" max="8702" width="6.453125" style="21" customWidth="1"/>
    <col min="8703" max="8703" width="6.90625" style="21" customWidth="1"/>
    <col min="8704" max="8704" width="10.7265625" style="21" customWidth="1"/>
    <col min="8705" max="8706" width="9.6328125" style="21" customWidth="1"/>
    <col min="8707" max="8707" width="8.6328125" style="21" customWidth="1"/>
    <col min="8708" max="8708" width="6.90625" style="21" customWidth="1"/>
    <col min="8709" max="8713" width="26.26953125" style="21" hidden="1" customWidth="1"/>
    <col min="8714" max="8908" width="9" style="21" customWidth="1"/>
    <col min="8909" max="8909" width="0.90625" style="21" customWidth="1"/>
    <col min="8910" max="8910" width="3.08984375" style="21" customWidth="1"/>
    <col min="8911" max="8911" width="3" style="21" customWidth="1"/>
    <col min="8912" max="8947" width="26.26953125" style="21"/>
    <col min="8948" max="8948" width="0.36328125" style="21" customWidth="1"/>
    <col min="8949" max="8949" width="3" style="21" customWidth="1"/>
    <col min="8950" max="8950" width="9.7265625" style="21" customWidth="1"/>
    <col min="8951" max="8951" width="5.6328125" style="21" customWidth="1"/>
    <col min="8952" max="8952" width="7" style="21" customWidth="1"/>
    <col min="8953" max="8953" width="7.08984375" style="21" customWidth="1"/>
    <col min="8954" max="8954" width="7.453125" style="21" customWidth="1"/>
    <col min="8955" max="8955" width="6.90625" style="21" customWidth="1"/>
    <col min="8956" max="8956" width="9" style="21" customWidth="1"/>
    <col min="8957" max="8957" width="9.6328125" style="21" customWidth="1"/>
    <col min="8958" max="8958" width="6.453125" style="21" customWidth="1"/>
    <col min="8959" max="8959" width="6.90625" style="21" customWidth="1"/>
    <col min="8960" max="8960" width="10.7265625" style="21" customWidth="1"/>
    <col min="8961" max="8962" width="9.6328125" style="21" customWidth="1"/>
    <col min="8963" max="8963" width="8.6328125" style="21" customWidth="1"/>
    <col min="8964" max="8964" width="6.90625" style="21" customWidth="1"/>
    <col min="8965" max="8969" width="26.26953125" style="21" hidden="1" customWidth="1"/>
    <col min="8970" max="9164" width="9" style="21" customWidth="1"/>
    <col min="9165" max="9165" width="0.90625" style="21" customWidth="1"/>
    <col min="9166" max="9166" width="3.08984375" style="21" customWidth="1"/>
    <col min="9167" max="9167" width="3" style="21" customWidth="1"/>
    <col min="9168" max="9203" width="26.26953125" style="21"/>
    <col min="9204" max="9204" width="0.36328125" style="21" customWidth="1"/>
    <col min="9205" max="9205" width="3" style="21" customWidth="1"/>
    <col min="9206" max="9206" width="9.7265625" style="21" customWidth="1"/>
    <col min="9207" max="9207" width="5.6328125" style="21" customWidth="1"/>
    <col min="9208" max="9208" width="7" style="21" customWidth="1"/>
    <col min="9209" max="9209" width="7.08984375" style="21" customWidth="1"/>
    <col min="9210" max="9210" width="7.453125" style="21" customWidth="1"/>
    <col min="9211" max="9211" width="6.90625" style="21" customWidth="1"/>
    <col min="9212" max="9212" width="9" style="21" customWidth="1"/>
    <col min="9213" max="9213" width="9.6328125" style="21" customWidth="1"/>
    <col min="9214" max="9214" width="6.453125" style="21" customWidth="1"/>
    <col min="9215" max="9215" width="6.90625" style="21" customWidth="1"/>
    <col min="9216" max="9216" width="10.7265625" style="21" customWidth="1"/>
    <col min="9217" max="9218" width="9.6328125" style="21" customWidth="1"/>
    <col min="9219" max="9219" width="8.6328125" style="21" customWidth="1"/>
    <col min="9220" max="9220" width="6.90625" style="21" customWidth="1"/>
    <col min="9221" max="9225" width="26.26953125" style="21" hidden="1" customWidth="1"/>
    <col min="9226" max="9420" width="9" style="21" customWidth="1"/>
    <col min="9421" max="9421" width="0.90625" style="21" customWidth="1"/>
    <col min="9422" max="9422" width="3.08984375" style="21" customWidth="1"/>
    <col min="9423" max="9423" width="3" style="21" customWidth="1"/>
    <col min="9424" max="9459" width="26.26953125" style="21"/>
    <col min="9460" max="9460" width="0.36328125" style="21" customWidth="1"/>
    <col min="9461" max="9461" width="3" style="21" customWidth="1"/>
    <col min="9462" max="9462" width="9.7265625" style="21" customWidth="1"/>
    <col min="9463" max="9463" width="5.6328125" style="21" customWidth="1"/>
    <col min="9464" max="9464" width="7" style="21" customWidth="1"/>
    <col min="9465" max="9465" width="7.08984375" style="21" customWidth="1"/>
    <col min="9466" max="9466" width="7.453125" style="21" customWidth="1"/>
    <col min="9467" max="9467" width="6.90625" style="21" customWidth="1"/>
    <col min="9468" max="9468" width="9" style="21" customWidth="1"/>
    <col min="9469" max="9469" width="9.6328125" style="21" customWidth="1"/>
    <col min="9470" max="9470" width="6.453125" style="21" customWidth="1"/>
    <col min="9471" max="9471" width="6.90625" style="21" customWidth="1"/>
    <col min="9472" max="9472" width="10.7265625" style="21" customWidth="1"/>
    <col min="9473" max="9474" width="9.6328125" style="21" customWidth="1"/>
    <col min="9475" max="9475" width="8.6328125" style="21" customWidth="1"/>
    <col min="9476" max="9476" width="6.90625" style="21" customWidth="1"/>
    <col min="9477" max="9481" width="26.26953125" style="21" hidden="1" customWidth="1"/>
    <col min="9482" max="9676" width="9" style="21" customWidth="1"/>
    <col min="9677" max="9677" width="0.90625" style="21" customWidth="1"/>
    <col min="9678" max="9678" width="3.08984375" style="21" customWidth="1"/>
    <col min="9679" max="9679" width="3" style="21" customWidth="1"/>
    <col min="9680" max="9715" width="26.26953125" style="21"/>
    <col min="9716" max="9716" width="0.36328125" style="21" customWidth="1"/>
    <col min="9717" max="9717" width="3" style="21" customWidth="1"/>
    <col min="9718" max="9718" width="9.7265625" style="21" customWidth="1"/>
    <col min="9719" max="9719" width="5.6328125" style="21" customWidth="1"/>
    <col min="9720" max="9720" width="7" style="21" customWidth="1"/>
    <col min="9721" max="9721" width="7.08984375" style="21" customWidth="1"/>
    <col min="9722" max="9722" width="7.453125" style="21" customWidth="1"/>
    <col min="9723" max="9723" width="6.90625" style="21" customWidth="1"/>
    <col min="9724" max="9724" width="9" style="21" customWidth="1"/>
    <col min="9725" max="9725" width="9.6328125" style="21" customWidth="1"/>
    <col min="9726" max="9726" width="6.453125" style="21" customWidth="1"/>
    <col min="9727" max="9727" width="6.90625" style="21" customWidth="1"/>
    <col min="9728" max="9728" width="10.7265625" style="21" customWidth="1"/>
    <col min="9729" max="9730" width="9.6328125" style="21" customWidth="1"/>
    <col min="9731" max="9731" width="8.6328125" style="21" customWidth="1"/>
    <col min="9732" max="9732" width="6.90625" style="21" customWidth="1"/>
    <col min="9733" max="9737" width="26.26953125" style="21" hidden="1" customWidth="1"/>
    <col min="9738" max="9932" width="9" style="21" customWidth="1"/>
    <col min="9933" max="9933" width="0.90625" style="21" customWidth="1"/>
    <col min="9934" max="9934" width="3.08984375" style="21" customWidth="1"/>
    <col min="9935" max="9935" width="3" style="21" customWidth="1"/>
    <col min="9936" max="9971" width="26.26953125" style="21"/>
    <col min="9972" max="9972" width="0.36328125" style="21" customWidth="1"/>
    <col min="9973" max="9973" width="3" style="21" customWidth="1"/>
    <col min="9974" max="9974" width="9.7265625" style="21" customWidth="1"/>
    <col min="9975" max="9975" width="5.6328125" style="21" customWidth="1"/>
    <col min="9976" max="9976" width="7" style="21" customWidth="1"/>
    <col min="9977" max="9977" width="7.08984375" style="21" customWidth="1"/>
    <col min="9978" max="9978" width="7.453125" style="21" customWidth="1"/>
    <col min="9979" max="9979" width="6.90625" style="21" customWidth="1"/>
    <col min="9980" max="9980" width="9" style="21" customWidth="1"/>
    <col min="9981" max="9981" width="9.6328125" style="21" customWidth="1"/>
    <col min="9982" max="9982" width="6.453125" style="21" customWidth="1"/>
    <col min="9983" max="9983" width="6.90625" style="21" customWidth="1"/>
    <col min="9984" max="9984" width="10.7265625" style="21" customWidth="1"/>
    <col min="9985" max="9986" width="9.6328125" style="21" customWidth="1"/>
    <col min="9987" max="9987" width="8.6328125" style="21" customWidth="1"/>
    <col min="9988" max="9988" width="6.90625" style="21" customWidth="1"/>
    <col min="9989" max="9993" width="26.26953125" style="21" hidden="1" customWidth="1"/>
    <col min="9994" max="10188" width="9" style="21" customWidth="1"/>
    <col min="10189" max="10189" width="0.90625" style="21" customWidth="1"/>
    <col min="10190" max="10190" width="3.08984375" style="21" customWidth="1"/>
    <col min="10191" max="10191" width="3" style="21" customWidth="1"/>
    <col min="10192" max="10227" width="26.26953125" style="21"/>
    <col min="10228" max="10228" width="0.36328125" style="21" customWidth="1"/>
    <col min="10229" max="10229" width="3" style="21" customWidth="1"/>
    <col min="10230" max="10230" width="9.7265625" style="21" customWidth="1"/>
    <col min="10231" max="10231" width="5.6328125" style="21" customWidth="1"/>
    <col min="10232" max="10232" width="7" style="21" customWidth="1"/>
    <col min="10233" max="10233" width="7.08984375" style="21" customWidth="1"/>
    <col min="10234" max="10234" width="7.453125" style="21" customWidth="1"/>
    <col min="10235" max="10235" width="6.90625" style="21" customWidth="1"/>
    <col min="10236" max="10236" width="9" style="21" customWidth="1"/>
    <col min="10237" max="10237" width="9.6328125" style="21" customWidth="1"/>
    <col min="10238" max="10238" width="6.453125" style="21" customWidth="1"/>
    <col min="10239" max="10239" width="6.90625" style="21" customWidth="1"/>
    <col min="10240" max="10240" width="10.7265625" style="21" customWidth="1"/>
    <col min="10241" max="10242" width="9.6328125" style="21" customWidth="1"/>
    <col min="10243" max="10243" width="8.6328125" style="21" customWidth="1"/>
    <col min="10244" max="10244" width="6.90625" style="21" customWidth="1"/>
    <col min="10245" max="10249" width="26.26953125" style="21" hidden="1" customWidth="1"/>
    <col min="10250" max="10444" width="9" style="21" customWidth="1"/>
    <col min="10445" max="10445" width="0.90625" style="21" customWidth="1"/>
    <col min="10446" max="10446" width="3.08984375" style="21" customWidth="1"/>
    <col min="10447" max="10447" width="3" style="21" customWidth="1"/>
    <col min="10448" max="10483" width="26.26953125" style="21"/>
    <col min="10484" max="10484" width="0.36328125" style="21" customWidth="1"/>
    <col min="10485" max="10485" width="3" style="21" customWidth="1"/>
    <col min="10486" max="10486" width="9.7265625" style="21" customWidth="1"/>
    <col min="10487" max="10487" width="5.6328125" style="21" customWidth="1"/>
    <col min="10488" max="10488" width="7" style="21" customWidth="1"/>
    <col min="10489" max="10489" width="7.08984375" style="21" customWidth="1"/>
    <col min="10490" max="10490" width="7.453125" style="21" customWidth="1"/>
    <col min="10491" max="10491" width="6.90625" style="21" customWidth="1"/>
    <col min="10492" max="10492" width="9" style="21" customWidth="1"/>
    <col min="10493" max="10493" width="9.6328125" style="21" customWidth="1"/>
    <col min="10494" max="10494" width="6.453125" style="21" customWidth="1"/>
    <col min="10495" max="10495" width="6.90625" style="21" customWidth="1"/>
    <col min="10496" max="10496" width="10.7265625" style="21" customWidth="1"/>
    <col min="10497" max="10498" width="9.6328125" style="21" customWidth="1"/>
    <col min="10499" max="10499" width="8.6328125" style="21" customWidth="1"/>
    <col min="10500" max="10500" width="6.90625" style="21" customWidth="1"/>
    <col min="10501" max="10505" width="26.26953125" style="21" hidden="1" customWidth="1"/>
    <col min="10506" max="10700" width="9" style="21" customWidth="1"/>
    <col min="10701" max="10701" width="0.90625" style="21" customWidth="1"/>
    <col min="10702" max="10702" width="3.08984375" style="21" customWidth="1"/>
    <col min="10703" max="10703" width="3" style="21" customWidth="1"/>
    <col min="10704" max="10739" width="26.26953125" style="21"/>
    <col min="10740" max="10740" width="0.36328125" style="21" customWidth="1"/>
    <col min="10741" max="10741" width="3" style="21" customWidth="1"/>
    <col min="10742" max="10742" width="9.7265625" style="21" customWidth="1"/>
    <col min="10743" max="10743" width="5.6328125" style="21" customWidth="1"/>
    <col min="10744" max="10744" width="7" style="21" customWidth="1"/>
    <col min="10745" max="10745" width="7.08984375" style="21" customWidth="1"/>
    <col min="10746" max="10746" width="7.453125" style="21" customWidth="1"/>
    <col min="10747" max="10747" width="6.90625" style="21" customWidth="1"/>
    <col min="10748" max="10748" width="9" style="21" customWidth="1"/>
    <col min="10749" max="10749" width="9.6328125" style="21" customWidth="1"/>
    <col min="10750" max="10750" width="6.453125" style="21" customWidth="1"/>
    <col min="10751" max="10751" width="6.90625" style="21" customWidth="1"/>
    <col min="10752" max="10752" width="10.7265625" style="21" customWidth="1"/>
    <col min="10753" max="10754" width="9.6328125" style="21" customWidth="1"/>
    <col min="10755" max="10755" width="8.6328125" style="21" customWidth="1"/>
    <col min="10756" max="10756" width="6.90625" style="21" customWidth="1"/>
    <col min="10757" max="10761" width="26.26953125" style="21" hidden="1" customWidth="1"/>
    <col min="10762" max="10956" width="9" style="21" customWidth="1"/>
    <col min="10957" max="10957" width="0.90625" style="21" customWidth="1"/>
    <col min="10958" max="10958" width="3.08984375" style="21" customWidth="1"/>
    <col min="10959" max="10959" width="3" style="21" customWidth="1"/>
    <col min="10960" max="10995" width="26.26953125" style="21"/>
    <col min="10996" max="10996" width="0.36328125" style="21" customWidth="1"/>
    <col min="10997" max="10997" width="3" style="21" customWidth="1"/>
    <col min="10998" max="10998" width="9.7265625" style="21" customWidth="1"/>
    <col min="10999" max="10999" width="5.6328125" style="21" customWidth="1"/>
    <col min="11000" max="11000" width="7" style="21" customWidth="1"/>
    <col min="11001" max="11001" width="7.08984375" style="21" customWidth="1"/>
    <col min="11002" max="11002" width="7.453125" style="21" customWidth="1"/>
    <col min="11003" max="11003" width="6.90625" style="21" customWidth="1"/>
    <col min="11004" max="11004" width="9" style="21" customWidth="1"/>
    <col min="11005" max="11005" width="9.6328125" style="21" customWidth="1"/>
    <col min="11006" max="11006" width="6.453125" style="21" customWidth="1"/>
    <col min="11007" max="11007" width="6.90625" style="21" customWidth="1"/>
    <col min="11008" max="11008" width="10.7265625" style="21" customWidth="1"/>
    <col min="11009" max="11010" width="9.6328125" style="21" customWidth="1"/>
    <col min="11011" max="11011" width="8.6328125" style="21" customWidth="1"/>
    <col min="11012" max="11012" width="6.90625" style="21" customWidth="1"/>
    <col min="11013" max="11017" width="26.26953125" style="21" hidden="1" customWidth="1"/>
    <col min="11018" max="11212" width="9" style="21" customWidth="1"/>
    <col min="11213" max="11213" width="0.90625" style="21" customWidth="1"/>
    <col min="11214" max="11214" width="3.08984375" style="21" customWidth="1"/>
    <col min="11215" max="11215" width="3" style="21" customWidth="1"/>
    <col min="11216" max="11251" width="26.26953125" style="21"/>
    <col min="11252" max="11252" width="0.36328125" style="21" customWidth="1"/>
    <col min="11253" max="11253" width="3" style="21" customWidth="1"/>
    <col min="11254" max="11254" width="9.7265625" style="21" customWidth="1"/>
    <col min="11255" max="11255" width="5.6328125" style="21" customWidth="1"/>
    <col min="11256" max="11256" width="7" style="21" customWidth="1"/>
    <col min="11257" max="11257" width="7.08984375" style="21" customWidth="1"/>
    <col min="11258" max="11258" width="7.453125" style="21" customWidth="1"/>
    <col min="11259" max="11259" width="6.90625" style="21" customWidth="1"/>
    <col min="11260" max="11260" width="9" style="21" customWidth="1"/>
    <col min="11261" max="11261" width="9.6328125" style="21" customWidth="1"/>
    <col min="11262" max="11262" width="6.453125" style="21" customWidth="1"/>
    <col min="11263" max="11263" width="6.90625" style="21" customWidth="1"/>
    <col min="11264" max="11264" width="10.7265625" style="21" customWidth="1"/>
    <col min="11265" max="11266" width="9.6328125" style="21" customWidth="1"/>
    <col min="11267" max="11267" width="8.6328125" style="21" customWidth="1"/>
    <col min="11268" max="11268" width="6.90625" style="21" customWidth="1"/>
    <col min="11269" max="11273" width="26.26953125" style="21" hidden="1" customWidth="1"/>
    <col min="11274" max="11468" width="9" style="21" customWidth="1"/>
    <col min="11469" max="11469" width="0.90625" style="21" customWidth="1"/>
    <col min="11470" max="11470" width="3.08984375" style="21" customWidth="1"/>
    <col min="11471" max="11471" width="3" style="21" customWidth="1"/>
    <col min="11472" max="11507" width="26.26953125" style="21"/>
    <col min="11508" max="11508" width="0.36328125" style="21" customWidth="1"/>
    <col min="11509" max="11509" width="3" style="21" customWidth="1"/>
    <col min="11510" max="11510" width="9.7265625" style="21" customWidth="1"/>
    <col min="11511" max="11511" width="5.6328125" style="21" customWidth="1"/>
    <col min="11512" max="11512" width="7" style="21" customWidth="1"/>
    <col min="11513" max="11513" width="7.08984375" style="21" customWidth="1"/>
    <col min="11514" max="11514" width="7.453125" style="21" customWidth="1"/>
    <col min="11515" max="11515" width="6.90625" style="21" customWidth="1"/>
    <col min="11516" max="11516" width="9" style="21" customWidth="1"/>
    <col min="11517" max="11517" width="9.6328125" style="21" customWidth="1"/>
    <col min="11518" max="11518" width="6.453125" style="21" customWidth="1"/>
    <col min="11519" max="11519" width="6.90625" style="21" customWidth="1"/>
    <col min="11520" max="11520" width="10.7265625" style="21" customWidth="1"/>
    <col min="11521" max="11522" width="9.6328125" style="21" customWidth="1"/>
    <col min="11523" max="11523" width="8.6328125" style="21" customWidth="1"/>
    <col min="11524" max="11524" width="6.90625" style="21" customWidth="1"/>
    <col min="11525" max="11529" width="26.26953125" style="21" hidden="1" customWidth="1"/>
    <col min="11530" max="11724" width="9" style="21" customWidth="1"/>
    <col min="11725" max="11725" width="0.90625" style="21" customWidth="1"/>
    <col min="11726" max="11726" width="3.08984375" style="21" customWidth="1"/>
    <col min="11727" max="11727" width="3" style="21" customWidth="1"/>
    <col min="11728" max="11763" width="26.26953125" style="21"/>
    <col min="11764" max="11764" width="0.36328125" style="21" customWidth="1"/>
    <col min="11765" max="11765" width="3" style="21" customWidth="1"/>
    <col min="11766" max="11766" width="9.7265625" style="21" customWidth="1"/>
    <col min="11767" max="11767" width="5.6328125" style="21" customWidth="1"/>
    <col min="11768" max="11768" width="7" style="21" customWidth="1"/>
    <col min="11769" max="11769" width="7.08984375" style="21" customWidth="1"/>
    <col min="11770" max="11770" width="7.453125" style="21" customWidth="1"/>
    <col min="11771" max="11771" width="6.90625" style="21" customWidth="1"/>
    <col min="11772" max="11772" width="9" style="21" customWidth="1"/>
    <col min="11773" max="11773" width="9.6328125" style="21" customWidth="1"/>
    <col min="11774" max="11774" width="6.453125" style="21" customWidth="1"/>
    <col min="11775" max="11775" width="6.90625" style="21" customWidth="1"/>
    <col min="11776" max="11776" width="10.7265625" style="21" customWidth="1"/>
    <col min="11777" max="11778" width="9.6328125" style="21" customWidth="1"/>
    <col min="11779" max="11779" width="8.6328125" style="21" customWidth="1"/>
    <col min="11780" max="11780" width="6.90625" style="21" customWidth="1"/>
    <col min="11781" max="11785" width="26.26953125" style="21" hidden="1" customWidth="1"/>
    <col min="11786" max="11980" width="9" style="21" customWidth="1"/>
    <col min="11981" max="11981" width="0.90625" style="21" customWidth="1"/>
    <col min="11982" max="11982" width="3.08984375" style="21" customWidth="1"/>
    <col min="11983" max="11983" width="3" style="21" customWidth="1"/>
    <col min="11984" max="12019" width="26.26953125" style="21"/>
    <col min="12020" max="12020" width="0.36328125" style="21" customWidth="1"/>
    <col min="12021" max="12021" width="3" style="21" customWidth="1"/>
    <col min="12022" max="12022" width="9.7265625" style="21" customWidth="1"/>
    <col min="12023" max="12023" width="5.6328125" style="21" customWidth="1"/>
    <col min="12024" max="12024" width="7" style="21" customWidth="1"/>
    <col min="12025" max="12025" width="7.08984375" style="21" customWidth="1"/>
    <col min="12026" max="12026" width="7.453125" style="21" customWidth="1"/>
    <col min="12027" max="12027" width="6.90625" style="21" customWidth="1"/>
    <col min="12028" max="12028" width="9" style="21" customWidth="1"/>
    <col min="12029" max="12029" width="9.6328125" style="21" customWidth="1"/>
    <col min="12030" max="12030" width="6.453125" style="21" customWidth="1"/>
    <col min="12031" max="12031" width="6.90625" style="21" customWidth="1"/>
    <col min="12032" max="12032" width="10.7265625" style="21" customWidth="1"/>
    <col min="12033" max="12034" width="9.6328125" style="21" customWidth="1"/>
    <col min="12035" max="12035" width="8.6328125" style="21" customWidth="1"/>
    <col min="12036" max="12036" width="6.90625" style="21" customWidth="1"/>
    <col min="12037" max="12041" width="26.26953125" style="21" hidden="1" customWidth="1"/>
    <col min="12042" max="12236" width="9" style="21" customWidth="1"/>
    <col min="12237" max="12237" width="0.90625" style="21" customWidth="1"/>
    <col min="12238" max="12238" width="3.08984375" style="21" customWidth="1"/>
    <col min="12239" max="12239" width="3" style="21" customWidth="1"/>
    <col min="12240" max="12275" width="26.26953125" style="21"/>
    <col min="12276" max="12276" width="0.36328125" style="21" customWidth="1"/>
    <col min="12277" max="12277" width="3" style="21" customWidth="1"/>
    <col min="12278" max="12278" width="9.7265625" style="21" customWidth="1"/>
    <col min="12279" max="12279" width="5.6328125" style="21" customWidth="1"/>
    <col min="12280" max="12280" width="7" style="21" customWidth="1"/>
    <col min="12281" max="12281" width="7.08984375" style="21" customWidth="1"/>
    <col min="12282" max="12282" width="7.453125" style="21" customWidth="1"/>
    <col min="12283" max="12283" width="6.90625" style="21" customWidth="1"/>
    <col min="12284" max="12284" width="9" style="21" customWidth="1"/>
    <col min="12285" max="12285" width="9.6328125" style="21" customWidth="1"/>
    <col min="12286" max="12286" width="6.453125" style="21" customWidth="1"/>
    <col min="12287" max="12287" width="6.90625" style="21" customWidth="1"/>
    <col min="12288" max="12288" width="10.7265625" style="21" customWidth="1"/>
    <col min="12289" max="12290" width="9.6328125" style="21" customWidth="1"/>
    <col min="12291" max="12291" width="8.6328125" style="21" customWidth="1"/>
    <col min="12292" max="12292" width="6.90625" style="21" customWidth="1"/>
    <col min="12293" max="12297" width="26.26953125" style="21" hidden="1" customWidth="1"/>
    <col min="12298" max="12492" width="9" style="21" customWidth="1"/>
    <col min="12493" max="12493" width="0.90625" style="21" customWidth="1"/>
    <col min="12494" max="12494" width="3.08984375" style="21" customWidth="1"/>
    <col min="12495" max="12495" width="3" style="21" customWidth="1"/>
    <col min="12496" max="12531" width="26.26953125" style="21"/>
    <col min="12532" max="12532" width="0.36328125" style="21" customWidth="1"/>
    <col min="12533" max="12533" width="3" style="21" customWidth="1"/>
    <col min="12534" max="12534" width="9.7265625" style="21" customWidth="1"/>
    <col min="12535" max="12535" width="5.6328125" style="21" customWidth="1"/>
    <col min="12536" max="12536" width="7" style="21" customWidth="1"/>
    <col min="12537" max="12537" width="7.08984375" style="21" customWidth="1"/>
    <col min="12538" max="12538" width="7.453125" style="21" customWidth="1"/>
    <col min="12539" max="12539" width="6.90625" style="21" customWidth="1"/>
    <col min="12540" max="12540" width="9" style="21" customWidth="1"/>
    <col min="12541" max="12541" width="9.6328125" style="21" customWidth="1"/>
    <col min="12542" max="12542" width="6.453125" style="21" customWidth="1"/>
    <col min="12543" max="12543" width="6.90625" style="21" customWidth="1"/>
    <col min="12544" max="12544" width="10.7265625" style="21" customWidth="1"/>
    <col min="12545" max="12546" width="9.6328125" style="21" customWidth="1"/>
    <col min="12547" max="12547" width="8.6328125" style="21" customWidth="1"/>
    <col min="12548" max="12548" width="6.90625" style="21" customWidth="1"/>
    <col min="12549" max="12553" width="26.26953125" style="21" hidden="1" customWidth="1"/>
    <col min="12554" max="12748" width="9" style="21" customWidth="1"/>
    <col min="12749" max="12749" width="0.90625" style="21" customWidth="1"/>
    <col min="12750" max="12750" width="3.08984375" style="21" customWidth="1"/>
    <col min="12751" max="12751" width="3" style="21" customWidth="1"/>
    <col min="12752" max="12787" width="26.26953125" style="21"/>
    <col min="12788" max="12788" width="0.36328125" style="21" customWidth="1"/>
    <col min="12789" max="12789" width="3" style="21" customWidth="1"/>
    <col min="12790" max="12790" width="9.7265625" style="21" customWidth="1"/>
    <col min="12791" max="12791" width="5.6328125" style="21" customWidth="1"/>
    <col min="12792" max="12792" width="7" style="21" customWidth="1"/>
    <col min="12793" max="12793" width="7.08984375" style="21" customWidth="1"/>
    <col min="12794" max="12794" width="7.453125" style="21" customWidth="1"/>
    <col min="12795" max="12795" width="6.90625" style="21" customWidth="1"/>
    <col min="12796" max="12796" width="9" style="21" customWidth="1"/>
    <col min="12797" max="12797" width="9.6328125" style="21" customWidth="1"/>
    <col min="12798" max="12798" width="6.453125" style="21" customWidth="1"/>
    <col min="12799" max="12799" width="6.90625" style="21" customWidth="1"/>
    <col min="12800" max="12800" width="10.7265625" style="21" customWidth="1"/>
    <col min="12801" max="12802" width="9.6328125" style="21" customWidth="1"/>
    <col min="12803" max="12803" width="8.6328125" style="21" customWidth="1"/>
    <col min="12804" max="12804" width="6.90625" style="21" customWidth="1"/>
    <col min="12805" max="12809" width="26.26953125" style="21" hidden="1" customWidth="1"/>
    <col min="12810" max="13004" width="9" style="21" customWidth="1"/>
    <col min="13005" max="13005" width="0.90625" style="21" customWidth="1"/>
    <col min="13006" max="13006" width="3.08984375" style="21" customWidth="1"/>
    <col min="13007" max="13007" width="3" style="21" customWidth="1"/>
    <col min="13008" max="13043" width="26.26953125" style="21"/>
    <col min="13044" max="13044" width="0.36328125" style="21" customWidth="1"/>
    <col min="13045" max="13045" width="3" style="21" customWidth="1"/>
    <col min="13046" max="13046" width="9.7265625" style="21" customWidth="1"/>
    <col min="13047" max="13047" width="5.6328125" style="21" customWidth="1"/>
    <col min="13048" max="13048" width="7" style="21" customWidth="1"/>
    <col min="13049" max="13049" width="7.08984375" style="21" customWidth="1"/>
    <col min="13050" max="13050" width="7.453125" style="21" customWidth="1"/>
    <col min="13051" max="13051" width="6.90625" style="21" customWidth="1"/>
    <col min="13052" max="13052" width="9" style="21" customWidth="1"/>
    <col min="13053" max="13053" width="9.6328125" style="21" customWidth="1"/>
    <col min="13054" max="13054" width="6.453125" style="21" customWidth="1"/>
    <col min="13055" max="13055" width="6.90625" style="21" customWidth="1"/>
    <col min="13056" max="13056" width="10.7265625" style="21" customWidth="1"/>
    <col min="13057" max="13058" width="9.6328125" style="21" customWidth="1"/>
    <col min="13059" max="13059" width="8.6328125" style="21" customWidth="1"/>
    <col min="13060" max="13060" width="6.90625" style="21" customWidth="1"/>
    <col min="13061" max="13065" width="26.26953125" style="21" hidden="1" customWidth="1"/>
    <col min="13066" max="13260" width="9" style="21" customWidth="1"/>
    <col min="13261" max="13261" width="0.90625" style="21" customWidth="1"/>
    <col min="13262" max="13262" width="3.08984375" style="21" customWidth="1"/>
    <col min="13263" max="13263" width="3" style="21" customWidth="1"/>
    <col min="13264" max="13299" width="26.26953125" style="21"/>
    <col min="13300" max="13300" width="0.36328125" style="21" customWidth="1"/>
    <col min="13301" max="13301" width="3" style="21" customWidth="1"/>
    <col min="13302" max="13302" width="9.7265625" style="21" customWidth="1"/>
    <col min="13303" max="13303" width="5.6328125" style="21" customWidth="1"/>
    <col min="13304" max="13304" width="7" style="21" customWidth="1"/>
    <col min="13305" max="13305" width="7.08984375" style="21" customWidth="1"/>
    <col min="13306" max="13306" width="7.453125" style="21" customWidth="1"/>
    <col min="13307" max="13307" width="6.90625" style="21" customWidth="1"/>
    <col min="13308" max="13308" width="9" style="21" customWidth="1"/>
    <col min="13309" max="13309" width="9.6328125" style="21" customWidth="1"/>
    <col min="13310" max="13310" width="6.453125" style="21" customWidth="1"/>
    <col min="13311" max="13311" width="6.90625" style="21" customWidth="1"/>
    <col min="13312" max="13312" width="10.7265625" style="21" customWidth="1"/>
    <col min="13313" max="13314" width="9.6328125" style="21" customWidth="1"/>
    <col min="13315" max="13315" width="8.6328125" style="21" customWidth="1"/>
    <col min="13316" max="13316" width="6.90625" style="21" customWidth="1"/>
    <col min="13317" max="13321" width="26.26953125" style="21" hidden="1" customWidth="1"/>
    <col min="13322" max="13516" width="9" style="21" customWidth="1"/>
    <col min="13517" max="13517" width="0.90625" style="21" customWidth="1"/>
    <col min="13518" max="13518" width="3.08984375" style="21" customWidth="1"/>
    <col min="13519" max="13519" width="3" style="21" customWidth="1"/>
    <col min="13520" max="13555" width="26.26953125" style="21"/>
    <col min="13556" max="13556" width="0.36328125" style="21" customWidth="1"/>
    <col min="13557" max="13557" width="3" style="21" customWidth="1"/>
    <col min="13558" max="13558" width="9.7265625" style="21" customWidth="1"/>
    <col min="13559" max="13559" width="5.6328125" style="21" customWidth="1"/>
    <col min="13560" max="13560" width="7" style="21" customWidth="1"/>
    <col min="13561" max="13561" width="7.08984375" style="21" customWidth="1"/>
    <col min="13562" max="13562" width="7.453125" style="21" customWidth="1"/>
    <col min="13563" max="13563" width="6.90625" style="21" customWidth="1"/>
    <col min="13564" max="13564" width="9" style="21" customWidth="1"/>
    <col min="13565" max="13565" width="9.6328125" style="21" customWidth="1"/>
    <col min="13566" max="13566" width="6.453125" style="21" customWidth="1"/>
    <col min="13567" max="13567" width="6.90625" style="21" customWidth="1"/>
    <col min="13568" max="13568" width="10.7265625" style="21" customWidth="1"/>
    <col min="13569" max="13570" width="9.6328125" style="21" customWidth="1"/>
    <col min="13571" max="13571" width="8.6328125" style="21" customWidth="1"/>
    <col min="13572" max="13572" width="6.90625" style="21" customWidth="1"/>
    <col min="13573" max="13577" width="26.26953125" style="21" hidden="1" customWidth="1"/>
    <col min="13578" max="13772" width="9" style="21" customWidth="1"/>
    <col min="13773" max="13773" width="0.90625" style="21" customWidth="1"/>
    <col min="13774" max="13774" width="3.08984375" style="21" customWidth="1"/>
    <col min="13775" max="13775" width="3" style="21" customWidth="1"/>
    <col min="13776" max="13811" width="26.26953125" style="21"/>
    <col min="13812" max="13812" width="0.36328125" style="21" customWidth="1"/>
    <col min="13813" max="13813" width="3" style="21" customWidth="1"/>
    <col min="13814" max="13814" width="9.7265625" style="21" customWidth="1"/>
    <col min="13815" max="13815" width="5.6328125" style="21" customWidth="1"/>
    <col min="13816" max="13816" width="7" style="21" customWidth="1"/>
    <col min="13817" max="13817" width="7.08984375" style="21" customWidth="1"/>
    <col min="13818" max="13818" width="7.453125" style="21" customWidth="1"/>
    <col min="13819" max="13819" width="6.90625" style="21" customWidth="1"/>
    <col min="13820" max="13820" width="9" style="21" customWidth="1"/>
    <col min="13821" max="13821" width="9.6328125" style="21" customWidth="1"/>
    <col min="13822" max="13822" width="6.453125" style="21" customWidth="1"/>
    <col min="13823" max="13823" width="6.90625" style="21" customWidth="1"/>
    <col min="13824" max="13824" width="10.7265625" style="21" customWidth="1"/>
    <col min="13825" max="13826" width="9.6328125" style="21" customWidth="1"/>
    <col min="13827" max="13827" width="8.6328125" style="21" customWidth="1"/>
    <col min="13828" max="13828" width="6.90625" style="21" customWidth="1"/>
    <col min="13829" max="13833" width="26.26953125" style="21" hidden="1" customWidth="1"/>
    <col min="13834" max="14028" width="9" style="21" customWidth="1"/>
    <col min="14029" max="14029" width="0.90625" style="21" customWidth="1"/>
    <col min="14030" max="14030" width="3.08984375" style="21" customWidth="1"/>
    <col min="14031" max="14031" width="3" style="21" customWidth="1"/>
    <col min="14032" max="14067" width="26.26953125" style="21"/>
    <col min="14068" max="14068" width="0.36328125" style="21" customWidth="1"/>
    <col min="14069" max="14069" width="3" style="21" customWidth="1"/>
    <col min="14070" max="14070" width="9.7265625" style="21" customWidth="1"/>
    <col min="14071" max="14071" width="5.6328125" style="21" customWidth="1"/>
    <col min="14072" max="14072" width="7" style="21" customWidth="1"/>
    <col min="14073" max="14073" width="7.08984375" style="21" customWidth="1"/>
    <col min="14074" max="14074" width="7.453125" style="21" customWidth="1"/>
    <col min="14075" max="14075" width="6.90625" style="21" customWidth="1"/>
    <col min="14076" max="14076" width="9" style="21" customWidth="1"/>
    <col min="14077" max="14077" width="9.6328125" style="21" customWidth="1"/>
    <col min="14078" max="14078" width="6.453125" style="21" customWidth="1"/>
    <col min="14079" max="14079" width="6.90625" style="21" customWidth="1"/>
    <col min="14080" max="14080" width="10.7265625" style="21" customWidth="1"/>
    <col min="14081" max="14082" width="9.6328125" style="21" customWidth="1"/>
    <col min="14083" max="14083" width="8.6328125" style="21" customWidth="1"/>
    <col min="14084" max="14084" width="6.90625" style="21" customWidth="1"/>
    <col min="14085" max="14089" width="26.26953125" style="21" hidden="1" customWidth="1"/>
    <col min="14090" max="14284" width="9" style="21" customWidth="1"/>
    <col min="14285" max="14285" width="0.90625" style="21" customWidth="1"/>
    <col min="14286" max="14286" width="3.08984375" style="21" customWidth="1"/>
    <col min="14287" max="14287" width="3" style="21" customWidth="1"/>
    <col min="14288" max="14323" width="26.26953125" style="21"/>
    <col min="14324" max="14324" width="0.36328125" style="21" customWidth="1"/>
    <col min="14325" max="14325" width="3" style="21" customWidth="1"/>
    <col min="14326" max="14326" width="9.7265625" style="21" customWidth="1"/>
    <col min="14327" max="14327" width="5.6328125" style="21" customWidth="1"/>
    <col min="14328" max="14328" width="7" style="21" customWidth="1"/>
    <col min="14329" max="14329" width="7.08984375" style="21" customWidth="1"/>
    <col min="14330" max="14330" width="7.453125" style="21" customWidth="1"/>
    <col min="14331" max="14331" width="6.90625" style="21" customWidth="1"/>
    <col min="14332" max="14332" width="9" style="21" customWidth="1"/>
    <col min="14333" max="14333" width="9.6328125" style="21" customWidth="1"/>
    <col min="14334" max="14334" width="6.453125" style="21" customWidth="1"/>
    <col min="14335" max="14335" width="6.90625" style="21" customWidth="1"/>
    <col min="14336" max="14336" width="10.7265625" style="21" customWidth="1"/>
    <col min="14337" max="14338" width="9.6328125" style="21" customWidth="1"/>
    <col min="14339" max="14339" width="8.6328125" style="21" customWidth="1"/>
    <col min="14340" max="14340" width="6.90625" style="21" customWidth="1"/>
    <col min="14341" max="14345" width="26.26953125" style="21" hidden="1" customWidth="1"/>
    <col min="14346" max="14540" width="9" style="21" customWidth="1"/>
    <col min="14541" max="14541" width="0.90625" style="21" customWidth="1"/>
    <col min="14542" max="14542" width="3.08984375" style="21" customWidth="1"/>
    <col min="14543" max="14543" width="3" style="21" customWidth="1"/>
    <col min="14544" max="14579" width="26.26953125" style="21"/>
    <col min="14580" max="14580" width="0.36328125" style="21" customWidth="1"/>
    <col min="14581" max="14581" width="3" style="21" customWidth="1"/>
    <col min="14582" max="14582" width="9.7265625" style="21" customWidth="1"/>
    <col min="14583" max="14583" width="5.6328125" style="21" customWidth="1"/>
    <col min="14584" max="14584" width="7" style="21" customWidth="1"/>
    <col min="14585" max="14585" width="7.08984375" style="21" customWidth="1"/>
    <col min="14586" max="14586" width="7.453125" style="21" customWidth="1"/>
    <col min="14587" max="14587" width="6.90625" style="21" customWidth="1"/>
    <col min="14588" max="14588" width="9" style="21" customWidth="1"/>
    <col min="14589" max="14589" width="9.6328125" style="21" customWidth="1"/>
    <col min="14590" max="14590" width="6.453125" style="21" customWidth="1"/>
    <col min="14591" max="14591" width="6.90625" style="21" customWidth="1"/>
    <col min="14592" max="14592" width="10.7265625" style="21" customWidth="1"/>
    <col min="14593" max="14594" width="9.6328125" style="21" customWidth="1"/>
    <col min="14595" max="14595" width="8.6328125" style="21" customWidth="1"/>
    <col min="14596" max="14596" width="6.90625" style="21" customWidth="1"/>
    <col min="14597" max="14601" width="26.26953125" style="21" hidden="1" customWidth="1"/>
    <col min="14602" max="14796" width="9" style="21" customWidth="1"/>
    <col min="14797" max="14797" width="0.90625" style="21" customWidth="1"/>
    <col min="14798" max="14798" width="3.08984375" style="21" customWidth="1"/>
    <col min="14799" max="14799" width="3" style="21" customWidth="1"/>
    <col min="14800" max="14835" width="26.26953125" style="21"/>
    <col min="14836" max="14836" width="0.36328125" style="21" customWidth="1"/>
    <col min="14837" max="14837" width="3" style="21" customWidth="1"/>
    <col min="14838" max="14838" width="9.7265625" style="21" customWidth="1"/>
    <col min="14839" max="14839" width="5.6328125" style="21" customWidth="1"/>
    <col min="14840" max="14840" width="7" style="21" customWidth="1"/>
    <col min="14841" max="14841" width="7.08984375" style="21" customWidth="1"/>
    <col min="14842" max="14842" width="7.453125" style="21" customWidth="1"/>
    <col min="14843" max="14843" width="6.90625" style="21" customWidth="1"/>
    <col min="14844" max="14844" width="9" style="21" customWidth="1"/>
    <col min="14845" max="14845" width="9.6328125" style="21" customWidth="1"/>
    <col min="14846" max="14846" width="6.453125" style="21" customWidth="1"/>
    <col min="14847" max="14847" width="6.90625" style="21" customWidth="1"/>
    <col min="14848" max="14848" width="10.7265625" style="21" customWidth="1"/>
    <col min="14849" max="14850" width="9.6328125" style="21" customWidth="1"/>
    <col min="14851" max="14851" width="8.6328125" style="21" customWidth="1"/>
    <col min="14852" max="14852" width="6.90625" style="21" customWidth="1"/>
    <col min="14853" max="14857" width="26.26953125" style="21" hidden="1" customWidth="1"/>
    <col min="14858" max="15052" width="9" style="21" customWidth="1"/>
    <col min="15053" max="15053" width="0.90625" style="21" customWidth="1"/>
    <col min="15054" max="15054" width="3.08984375" style="21" customWidth="1"/>
    <col min="15055" max="15055" width="3" style="21" customWidth="1"/>
    <col min="15056" max="15091" width="26.26953125" style="21"/>
    <col min="15092" max="15092" width="0.36328125" style="21" customWidth="1"/>
    <col min="15093" max="15093" width="3" style="21" customWidth="1"/>
    <col min="15094" max="15094" width="9.7265625" style="21" customWidth="1"/>
    <col min="15095" max="15095" width="5.6328125" style="21" customWidth="1"/>
    <col min="15096" max="15096" width="7" style="21" customWidth="1"/>
    <col min="15097" max="15097" width="7.08984375" style="21" customWidth="1"/>
    <col min="15098" max="15098" width="7.453125" style="21" customWidth="1"/>
    <col min="15099" max="15099" width="6.90625" style="21" customWidth="1"/>
    <col min="15100" max="15100" width="9" style="21" customWidth="1"/>
    <col min="15101" max="15101" width="9.6328125" style="21" customWidth="1"/>
    <col min="15102" max="15102" width="6.453125" style="21" customWidth="1"/>
    <col min="15103" max="15103" width="6.90625" style="21" customWidth="1"/>
    <col min="15104" max="15104" width="10.7265625" style="21" customWidth="1"/>
    <col min="15105" max="15106" width="9.6328125" style="21" customWidth="1"/>
    <col min="15107" max="15107" width="8.6328125" style="21" customWidth="1"/>
    <col min="15108" max="15108" width="6.90625" style="21" customWidth="1"/>
    <col min="15109" max="15113" width="26.26953125" style="21" hidden="1" customWidth="1"/>
    <col min="15114" max="15308" width="9" style="21" customWidth="1"/>
    <col min="15309" max="15309" width="0.90625" style="21" customWidth="1"/>
    <col min="15310" max="15310" width="3.08984375" style="21" customWidth="1"/>
    <col min="15311" max="15311" width="3" style="21" customWidth="1"/>
    <col min="15312" max="15347" width="26.26953125" style="21"/>
    <col min="15348" max="15348" width="0.36328125" style="21" customWidth="1"/>
    <col min="15349" max="15349" width="3" style="21" customWidth="1"/>
    <col min="15350" max="15350" width="9.7265625" style="21" customWidth="1"/>
    <col min="15351" max="15351" width="5.6328125" style="21" customWidth="1"/>
    <col min="15352" max="15352" width="7" style="21" customWidth="1"/>
    <col min="15353" max="15353" width="7.08984375" style="21" customWidth="1"/>
    <col min="15354" max="15354" width="7.453125" style="21" customWidth="1"/>
    <col min="15355" max="15355" width="6.90625" style="21" customWidth="1"/>
    <col min="15356" max="15356" width="9" style="21" customWidth="1"/>
    <col min="15357" max="15357" width="9.6328125" style="21" customWidth="1"/>
    <col min="15358" max="15358" width="6.453125" style="21" customWidth="1"/>
    <col min="15359" max="15359" width="6.90625" style="21" customWidth="1"/>
    <col min="15360" max="15360" width="10.7265625" style="21" customWidth="1"/>
    <col min="15361" max="15362" width="9.6328125" style="21" customWidth="1"/>
    <col min="15363" max="15363" width="8.6328125" style="21" customWidth="1"/>
    <col min="15364" max="15364" width="6.90625" style="21" customWidth="1"/>
    <col min="15365" max="15369" width="26.26953125" style="21" hidden="1" customWidth="1"/>
    <col min="15370" max="15564" width="9" style="21" customWidth="1"/>
    <col min="15565" max="15565" width="0.90625" style="21" customWidth="1"/>
    <col min="15566" max="15566" width="3.08984375" style="21" customWidth="1"/>
    <col min="15567" max="15567" width="3" style="21" customWidth="1"/>
    <col min="15568" max="15603" width="26.26953125" style="21"/>
    <col min="15604" max="15604" width="0.36328125" style="21" customWidth="1"/>
    <col min="15605" max="15605" width="3" style="21" customWidth="1"/>
    <col min="15606" max="15606" width="9.7265625" style="21" customWidth="1"/>
    <col min="15607" max="15607" width="5.6328125" style="21" customWidth="1"/>
    <col min="15608" max="15608" width="7" style="21" customWidth="1"/>
    <col min="15609" max="15609" width="7.08984375" style="21" customWidth="1"/>
    <col min="15610" max="15610" width="7.453125" style="21" customWidth="1"/>
    <col min="15611" max="15611" width="6.90625" style="21" customWidth="1"/>
    <col min="15612" max="15612" width="9" style="21" customWidth="1"/>
    <col min="15613" max="15613" width="9.6328125" style="21" customWidth="1"/>
    <col min="15614" max="15614" width="6.453125" style="21" customWidth="1"/>
    <col min="15615" max="15615" width="6.90625" style="21" customWidth="1"/>
    <col min="15616" max="15616" width="10.7265625" style="21" customWidth="1"/>
    <col min="15617" max="15618" width="9.6328125" style="21" customWidth="1"/>
    <col min="15619" max="15619" width="8.6328125" style="21" customWidth="1"/>
    <col min="15620" max="15620" width="6.90625" style="21" customWidth="1"/>
    <col min="15621" max="15625" width="26.26953125" style="21" hidden="1" customWidth="1"/>
    <col min="15626" max="15820" width="9" style="21" customWidth="1"/>
    <col min="15821" max="15821" width="0.90625" style="21" customWidth="1"/>
    <col min="15822" max="15822" width="3.08984375" style="21" customWidth="1"/>
    <col min="15823" max="15823" width="3" style="21" customWidth="1"/>
    <col min="15824" max="15859" width="26.26953125" style="21"/>
    <col min="15860" max="15860" width="0.36328125" style="21" customWidth="1"/>
    <col min="15861" max="15861" width="3" style="21" customWidth="1"/>
    <col min="15862" max="15862" width="9.7265625" style="21" customWidth="1"/>
    <col min="15863" max="15863" width="5.6328125" style="21" customWidth="1"/>
    <col min="15864" max="15864" width="7" style="21" customWidth="1"/>
    <col min="15865" max="15865" width="7.08984375" style="21" customWidth="1"/>
    <col min="15866" max="15866" width="7.453125" style="21" customWidth="1"/>
    <col min="15867" max="15867" width="6.90625" style="21" customWidth="1"/>
    <col min="15868" max="15868" width="9" style="21" customWidth="1"/>
    <col min="15869" max="15869" width="9.6328125" style="21" customWidth="1"/>
    <col min="15870" max="15870" width="6.453125" style="21" customWidth="1"/>
    <col min="15871" max="15871" width="6.90625" style="21" customWidth="1"/>
    <col min="15872" max="15872" width="10.7265625" style="21" customWidth="1"/>
    <col min="15873" max="15874" width="9.6328125" style="21" customWidth="1"/>
    <col min="15875" max="15875" width="8.6328125" style="21" customWidth="1"/>
    <col min="15876" max="15876" width="6.90625" style="21" customWidth="1"/>
    <col min="15877" max="15881" width="26.26953125" style="21" hidden="1" customWidth="1"/>
    <col min="15882" max="16076" width="9" style="21" customWidth="1"/>
    <col min="16077" max="16077" width="0.90625" style="21" customWidth="1"/>
    <col min="16078" max="16078" width="3.08984375" style="21" customWidth="1"/>
    <col min="16079" max="16079" width="3" style="21" customWidth="1"/>
    <col min="16080" max="16115" width="26.26953125" style="21"/>
    <col min="16116" max="16116" width="0.36328125" style="21" customWidth="1"/>
    <col min="16117" max="16117" width="3" style="21" customWidth="1"/>
    <col min="16118" max="16118" width="9.7265625" style="21" customWidth="1"/>
    <col min="16119" max="16119" width="5.6328125" style="21" customWidth="1"/>
    <col min="16120" max="16120" width="7" style="21" customWidth="1"/>
    <col min="16121" max="16121" width="7.08984375" style="21" customWidth="1"/>
    <col min="16122" max="16122" width="7.453125" style="21" customWidth="1"/>
    <col min="16123" max="16123" width="6.90625" style="21" customWidth="1"/>
    <col min="16124" max="16124" width="9" style="21" customWidth="1"/>
    <col min="16125" max="16125" width="9.6328125" style="21" customWidth="1"/>
    <col min="16126" max="16126" width="6.453125" style="21" customWidth="1"/>
    <col min="16127" max="16127" width="6.90625" style="21" customWidth="1"/>
    <col min="16128" max="16128" width="10.7265625" style="21" customWidth="1"/>
    <col min="16129" max="16130" width="9.6328125" style="21" customWidth="1"/>
    <col min="16131" max="16131" width="8.6328125" style="21" customWidth="1"/>
    <col min="16132" max="16132" width="6.90625" style="21" customWidth="1"/>
    <col min="16133" max="16137" width="26.26953125" style="21" hidden="1" customWidth="1"/>
    <col min="16138" max="16332" width="9" style="21" customWidth="1"/>
    <col min="16333" max="16333" width="0.90625" style="21" customWidth="1"/>
    <col min="16334" max="16334" width="3.08984375" style="21" customWidth="1"/>
    <col min="16335" max="16335" width="3" style="21" customWidth="1"/>
    <col min="16336" max="16384" width="26.26953125" style="21"/>
  </cols>
  <sheetData>
    <row r="1" spans="1:17">
      <c r="A1" s="20"/>
      <c r="B1" s="20"/>
      <c r="C1" s="20"/>
      <c r="D1" s="20"/>
      <c r="E1" s="30"/>
      <c r="F1" s="30"/>
      <c r="G1" s="31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>
      <c r="A2" s="20"/>
      <c r="B2" s="20"/>
      <c r="C2" s="20"/>
      <c r="D2" s="20"/>
      <c r="E2" s="30"/>
      <c r="F2" s="30"/>
      <c r="G2" s="31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/>
      <c r="B3" s="20"/>
      <c r="C3" s="20"/>
      <c r="D3" s="20"/>
      <c r="E3" s="30"/>
      <c r="F3" s="30"/>
      <c r="G3" s="31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/>
      <c r="B4" s="20"/>
      <c r="C4" s="20"/>
      <c r="D4" s="20"/>
      <c r="E4" s="30"/>
      <c r="F4" s="30"/>
      <c r="G4" s="31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17.5">
      <c r="A5" s="20"/>
      <c r="B5" s="32" t="s">
        <v>26</v>
      </c>
      <c r="C5" s="33"/>
      <c r="D5" s="33"/>
      <c r="E5" s="33"/>
      <c r="F5" s="33"/>
      <c r="G5" s="34"/>
      <c r="H5" s="33"/>
      <c r="I5" s="33"/>
      <c r="J5" s="33"/>
      <c r="K5" s="33"/>
      <c r="L5" s="33"/>
      <c r="M5" s="33"/>
      <c r="N5" s="33"/>
      <c r="O5" s="33"/>
      <c r="P5" s="33"/>
      <c r="Q5" s="20"/>
    </row>
    <row r="6" spans="1:17">
      <c r="A6" s="20"/>
      <c r="B6" s="35" t="s">
        <v>27</v>
      </c>
      <c r="C6" s="35"/>
      <c r="D6" s="35"/>
      <c r="E6" s="35"/>
      <c r="F6" s="35"/>
      <c r="G6" s="36"/>
      <c r="H6" s="35"/>
      <c r="I6" s="35"/>
      <c r="J6" s="35"/>
      <c r="K6" s="35"/>
      <c r="L6" s="35"/>
      <c r="M6" s="35"/>
      <c r="N6" s="35"/>
      <c r="O6" s="35"/>
      <c r="P6" s="35"/>
      <c r="Q6" s="20"/>
    </row>
    <row r="7" spans="1:17" ht="14" customHeight="1">
      <c r="A7" s="20"/>
      <c r="B7" s="89" t="s">
        <v>28</v>
      </c>
      <c r="C7" s="89" t="s">
        <v>29</v>
      </c>
      <c r="D7" s="90" t="s">
        <v>30</v>
      </c>
      <c r="E7" s="86" t="s">
        <v>31</v>
      </c>
      <c r="F7" s="86"/>
      <c r="G7" s="86"/>
      <c r="H7" s="86"/>
      <c r="I7" s="86"/>
      <c r="J7" s="86"/>
      <c r="K7" s="87" t="s">
        <v>32</v>
      </c>
      <c r="L7" s="88"/>
      <c r="M7" s="88"/>
      <c r="N7" s="88"/>
      <c r="O7" s="88"/>
      <c r="P7" s="88"/>
      <c r="Q7" s="20"/>
    </row>
    <row r="8" spans="1:17" ht="10" customHeight="1">
      <c r="A8" s="20"/>
      <c r="B8" s="89"/>
      <c r="C8" s="89"/>
      <c r="D8" s="90"/>
      <c r="E8" s="90" t="s">
        <v>33</v>
      </c>
      <c r="F8" s="37" t="s">
        <v>34</v>
      </c>
      <c r="G8" s="38" t="s">
        <v>35</v>
      </c>
      <c r="H8" s="37" t="s">
        <v>36</v>
      </c>
      <c r="I8" s="37" t="s">
        <v>37</v>
      </c>
      <c r="J8" s="37" t="s">
        <v>38</v>
      </c>
      <c r="K8" s="37" t="s">
        <v>39</v>
      </c>
      <c r="L8" s="38" t="s">
        <v>40</v>
      </c>
      <c r="M8" s="38" t="s">
        <v>41</v>
      </c>
      <c r="N8" s="37" t="s">
        <v>42</v>
      </c>
      <c r="O8" s="37" t="s">
        <v>43</v>
      </c>
      <c r="P8" s="37" t="s">
        <v>44</v>
      </c>
      <c r="Q8" s="20"/>
    </row>
    <row r="9" spans="1:17" ht="48">
      <c r="A9" s="20"/>
      <c r="B9" s="89"/>
      <c r="C9" s="89"/>
      <c r="D9" s="90"/>
      <c r="E9" s="90"/>
      <c r="F9" s="39" t="s">
        <v>45</v>
      </c>
      <c r="G9" s="39" t="s">
        <v>46</v>
      </c>
      <c r="H9" s="40" t="s">
        <v>47</v>
      </c>
      <c r="I9" s="40" t="s">
        <v>48</v>
      </c>
      <c r="J9" s="40" t="s">
        <v>49</v>
      </c>
      <c r="K9" s="39" t="s">
        <v>50</v>
      </c>
      <c r="L9" s="39" t="s">
        <v>51</v>
      </c>
      <c r="M9" s="45" t="s">
        <v>52</v>
      </c>
      <c r="N9" s="45" t="s">
        <v>53</v>
      </c>
      <c r="O9" s="46" t="s">
        <v>54</v>
      </c>
      <c r="P9" s="46" t="s">
        <v>55</v>
      </c>
      <c r="Q9" s="20"/>
    </row>
    <row r="10" spans="1:17" ht="14" customHeight="1">
      <c r="A10" s="20"/>
      <c r="B10" s="27"/>
      <c r="C10" s="28"/>
      <c r="D10" s="28"/>
      <c r="E10" s="41"/>
      <c r="F10" s="28"/>
      <c r="G10" s="28"/>
      <c r="H10" s="42">
        <f>G10/3</f>
        <v>0</v>
      </c>
      <c r="I10" s="42">
        <f>E10/12*3</f>
        <v>0</v>
      </c>
      <c r="J10" s="47">
        <f t="shared" ref="J10:J12" si="0">IFERROR(F10/I10,0)</f>
        <v>0</v>
      </c>
      <c r="K10" s="48"/>
      <c r="L10" s="48"/>
      <c r="M10" s="48"/>
      <c r="N10" s="48"/>
      <c r="O10" s="48">
        <f>H10*3.5</f>
        <v>0</v>
      </c>
      <c r="P10" s="48">
        <f>N10-O10</f>
        <v>0</v>
      </c>
      <c r="Q10" s="20"/>
    </row>
    <row r="11" spans="1:17" s="20" customFormat="1">
      <c r="B11" s="27"/>
      <c r="C11" s="28"/>
      <c r="D11" s="28"/>
      <c r="E11" s="41"/>
      <c r="F11" s="28"/>
      <c r="G11" s="28"/>
      <c r="H11" s="42">
        <f t="shared" ref="H11:H12" si="1">G11/3</f>
        <v>0</v>
      </c>
      <c r="I11" s="42">
        <f t="shared" ref="I11:I12" si="2">E11/12*3</f>
        <v>0</v>
      </c>
      <c r="J11" s="47">
        <f t="shared" si="0"/>
        <v>0</v>
      </c>
      <c r="K11" s="48"/>
      <c r="L11" s="48"/>
      <c r="M11" s="28"/>
      <c r="N11" s="28"/>
      <c r="O11" s="48">
        <f t="shared" ref="O11:O12" si="3">H11*3.5</f>
        <v>0</v>
      </c>
      <c r="P11" s="48">
        <f t="shared" ref="P11:P12" si="4">N11-O11</f>
        <v>0</v>
      </c>
    </row>
    <row r="12" spans="1:17">
      <c r="A12" s="20"/>
      <c r="B12" s="27"/>
      <c r="C12" s="28"/>
      <c r="D12" s="28"/>
      <c r="E12" s="43"/>
      <c r="F12" s="28"/>
      <c r="G12" s="28"/>
      <c r="H12" s="42">
        <f t="shared" si="1"/>
        <v>0</v>
      </c>
      <c r="I12" s="42">
        <f t="shared" si="2"/>
        <v>0</v>
      </c>
      <c r="J12" s="47">
        <f t="shared" si="0"/>
        <v>0</v>
      </c>
      <c r="K12" s="48"/>
      <c r="L12" s="48"/>
      <c r="M12" s="28"/>
      <c r="N12" s="28"/>
      <c r="O12" s="48">
        <f t="shared" si="3"/>
        <v>0</v>
      </c>
      <c r="P12" s="48">
        <f t="shared" si="4"/>
        <v>0</v>
      </c>
      <c r="Q12" s="20"/>
    </row>
    <row r="13" spans="1:17">
      <c r="D13" s="22"/>
      <c r="G13" s="44"/>
      <c r="H13" s="22"/>
      <c r="I13" s="22"/>
      <c r="J13" s="22"/>
      <c r="K13" s="22"/>
      <c r="L13" s="22"/>
      <c r="M13" s="22"/>
      <c r="N13" s="49"/>
      <c r="O13" s="22"/>
      <c r="P13" s="22"/>
    </row>
  </sheetData>
  <mergeCells count="6">
    <mergeCell ref="E7:J7"/>
    <mergeCell ref="K7:P7"/>
    <mergeCell ref="B7:B9"/>
    <mergeCell ref="C7:C9"/>
    <mergeCell ref="D7:D9"/>
    <mergeCell ref="E8:E9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view="pageBreakPreview" zoomScale="115" zoomScaleNormal="100" workbookViewId="0">
      <selection activeCell="E13" sqref="E13"/>
    </sheetView>
  </sheetViews>
  <sheetFormatPr defaultColWidth="9" defaultRowHeight="14"/>
  <cols>
    <col min="1" max="1" width="2.08984375" style="1" customWidth="1"/>
    <col min="2" max="2" width="18.7265625" style="2" customWidth="1"/>
    <col min="3" max="4" width="11.54296875" style="2" customWidth="1"/>
    <col min="5" max="5" width="50.6328125" style="2" customWidth="1"/>
    <col min="6" max="7" width="10.6328125" style="2" customWidth="1"/>
    <col min="8" max="8" width="20.6328125" style="2" customWidth="1"/>
    <col min="9" max="9" width="1.6328125" style="2" customWidth="1"/>
    <col min="10" max="16384" width="9" style="2"/>
  </cols>
  <sheetData>
    <row r="1" spans="1:8" ht="45" customHeight="1"/>
    <row r="2" spans="1:8" ht="20" customHeight="1"/>
    <row r="3" spans="1:8" ht="25" customHeight="1">
      <c r="B3" s="91" t="s">
        <v>56</v>
      </c>
      <c r="C3" s="91"/>
      <c r="D3" s="91"/>
      <c r="E3" s="91"/>
      <c r="F3" s="91"/>
      <c r="G3" s="91"/>
      <c r="H3" s="91"/>
    </row>
    <row r="4" spans="1:8">
      <c r="A4" s="3" t="s">
        <v>28</v>
      </c>
      <c r="B4" s="5" t="s">
        <v>29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</row>
    <row r="5" spans="1:8">
      <c r="A5" s="1">
        <v>1</v>
      </c>
      <c r="B5" s="6"/>
      <c r="C5" s="6"/>
      <c r="D5" s="6"/>
      <c r="E5" s="7"/>
      <c r="F5" s="8"/>
      <c r="G5" s="8"/>
      <c r="H5" s="8"/>
    </row>
    <row r="6" spans="1:8">
      <c r="A6" s="1">
        <v>2</v>
      </c>
      <c r="B6" s="8"/>
      <c r="C6" s="8"/>
      <c r="D6" s="8"/>
      <c r="E6" s="8"/>
      <c r="F6" s="8"/>
      <c r="G6" s="8"/>
      <c r="H6" s="8"/>
    </row>
    <row r="7" spans="1:8">
      <c r="A7" s="1">
        <v>3</v>
      </c>
      <c r="B7" s="8"/>
      <c r="C7" s="8"/>
      <c r="D7" s="8"/>
      <c r="E7" s="8"/>
      <c r="F7" s="8"/>
      <c r="G7" s="8"/>
      <c r="H7" s="8"/>
    </row>
  </sheetData>
  <mergeCells count="1">
    <mergeCell ref="B3:H3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WVQ13"/>
  <sheetViews>
    <sheetView showGridLines="0" view="pageBreakPreview" zoomScale="115" zoomScaleNormal="100" workbookViewId="0">
      <selection activeCell="E19" sqref="E19"/>
    </sheetView>
  </sheetViews>
  <sheetFormatPr defaultColWidth="26.26953125" defaultRowHeight="14"/>
  <cols>
    <col min="1" max="1" width="0.36328125" style="21" customWidth="1"/>
    <col min="2" max="2" width="3" style="21" customWidth="1"/>
    <col min="3" max="3" width="9.7265625" style="21" customWidth="1"/>
    <col min="4" max="4" width="8.1796875" style="22" customWidth="1"/>
    <col min="5" max="5" width="42.36328125" style="21" customWidth="1"/>
    <col min="6" max="6" width="6" style="21" customWidth="1"/>
    <col min="7" max="7" width="11.90625" style="22" customWidth="1"/>
    <col min="8" max="8" width="15.36328125" style="21" customWidth="1"/>
    <col min="9" max="9" width="21.08984375" style="21" customWidth="1"/>
    <col min="10" max="204" width="9" style="21" customWidth="1"/>
    <col min="205" max="205" width="0.90625" style="21" customWidth="1"/>
    <col min="206" max="206" width="3.08984375" style="21" customWidth="1"/>
    <col min="207" max="207" width="3" style="21" customWidth="1"/>
    <col min="208" max="239" width="26.26953125" style="21"/>
    <col min="240" max="240" width="0.36328125" style="21" customWidth="1"/>
    <col min="241" max="241" width="2.6328125" style="21" customWidth="1"/>
    <col min="242" max="242" width="3" style="21" customWidth="1"/>
    <col min="243" max="243" width="9.7265625" style="21" customWidth="1"/>
    <col min="244" max="244" width="5.6328125" style="21" customWidth="1"/>
    <col min="245" max="245" width="7" style="21" customWidth="1"/>
    <col min="246" max="246" width="7.08984375" style="21" customWidth="1"/>
    <col min="247" max="247" width="7.453125" style="21" customWidth="1"/>
    <col min="248" max="248" width="6.90625" style="21" customWidth="1"/>
    <col min="249" max="249" width="9" style="21" customWidth="1"/>
    <col min="250" max="250" width="9.6328125" style="21" customWidth="1"/>
    <col min="251" max="251" width="6.453125" style="21" customWidth="1"/>
    <col min="252" max="252" width="6.90625" style="21" customWidth="1"/>
    <col min="253" max="253" width="10.7265625" style="21" customWidth="1"/>
    <col min="254" max="255" width="9.6328125" style="21" customWidth="1"/>
    <col min="256" max="256" width="8.6328125" style="21" customWidth="1"/>
    <col min="257" max="257" width="6.90625" style="21" customWidth="1"/>
    <col min="258" max="258" width="5.36328125" style="21" customWidth="1"/>
    <col min="259" max="259" width="6.90625" style="21" customWidth="1"/>
    <col min="260" max="265" width="26.26953125" style="21" hidden="1" customWidth="1"/>
    <col min="266" max="460" width="9" style="21" customWidth="1"/>
    <col min="461" max="461" width="0.90625" style="21" customWidth="1"/>
    <col min="462" max="462" width="3.08984375" style="21" customWidth="1"/>
    <col min="463" max="463" width="3" style="21" customWidth="1"/>
    <col min="464" max="495" width="26.26953125" style="21"/>
    <col min="496" max="496" width="0.36328125" style="21" customWidth="1"/>
    <col min="497" max="497" width="2.6328125" style="21" customWidth="1"/>
    <col min="498" max="498" width="3" style="21" customWidth="1"/>
    <col min="499" max="499" width="9.7265625" style="21" customWidth="1"/>
    <col min="500" max="500" width="5.6328125" style="21" customWidth="1"/>
    <col min="501" max="501" width="7" style="21" customWidth="1"/>
    <col min="502" max="502" width="7.08984375" style="21" customWidth="1"/>
    <col min="503" max="503" width="7.453125" style="21" customWidth="1"/>
    <col min="504" max="504" width="6.90625" style="21" customWidth="1"/>
    <col min="505" max="505" width="9" style="21" customWidth="1"/>
    <col min="506" max="506" width="9.6328125" style="21" customWidth="1"/>
    <col min="507" max="507" width="6.453125" style="21" customWidth="1"/>
    <col min="508" max="508" width="6.90625" style="21" customWidth="1"/>
    <col min="509" max="509" width="10.7265625" style="21" customWidth="1"/>
    <col min="510" max="511" width="9.6328125" style="21" customWidth="1"/>
    <col min="512" max="512" width="8.6328125" style="21" customWidth="1"/>
    <col min="513" max="513" width="6.90625" style="21" customWidth="1"/>
    <col min="514" max="514" width="5.36328125" style="21" customWidth="1"/>
    <col min="515" max="515" width="6.90625" style="21" customWidth="1"/>
    <col min="516" max="521" width="26.26953125" style="21" hidden="1" customWidth="1"/>
    <col min="522" max="716" width="9" style="21" customWidth="1"/>
    <col min="717" max="717" width="0.90625" style="21" customWidth="1"/>
    <col min="718" max="718" width="3.08984375" style="21" customWidth="1"/>
    <col min="719" max="719" width="3" style="21" customWidth="1"/>
    <col min="720" max="751" width="26.26953125" style="21"/>
    <col min="752" max="752" width="0.36328125" style="21" customWidth="1"/>
    <col min="753" max="753" width="2.6328125" style="21" customWidth="1"/>
    <col min="754" max="754" width="3" style="21" customWidth="1"/>
    <col min="755" max="755" width="9.7265625" style="21" customWidth="1"/>
    <col min="756" max="756" width="5.6328125" style="21" customWidth="1"/>
    <col min="757" max="757" width="7" style="21" customWidth="1"/>
    <col min="758" max="758" width="7.08984375" style="21" customWidth="1"/>
    <col min="759" max="759" width="7.453125" style="21" customWidth="1"/>
    <col min="760" max="760" width="6.90625" style="21" customWidth="1"/>
    <col min="761" max="761" width="9" style="21" customWidth="1"/>
    <col min="762" max="762" width="9.6328125" style="21" customWidth="1"/>
    <col min="763" max="763" width="6.453125" style="21" customWidth="1"/>
    <col min="764" max="764" width="6.90625" style="21" customWidth="1"/>
    <col min="765" max="765" width="10.7265625" style="21" customWidth="1"/>
    <col min="766" max="767" width="9.6328125" style="21" customWidth="1"/>
    <col min="768" max="768" width="8.6328125" style="21" customWidth="1"/>
    <col min="769" max="769" width="6.90625" style="21" customWidth="1"/>
    <col min="770" max="770" width="5.36328125" style="21" customWidth="1"/>
    <col min="771" max="771" width="6.90625" style="21" customWidth="1"/>
    <col min="772" max="777" width="26.26953125" style="21" hidden="1" customWidth="1"/>
    <col min="778" max="972" width="9" style="21" customWidth="1"/>
    <col min="973" max="973" width="0.90625" style="21" customWidth="1"/>
    <col min="974" max="974" width="3.08984375" style="21" customWidth="1"/>
    <col min="975" max="975" width="3" style="21" customWidth="1"/>
    <col min="976" max="1007" width="26.26953125" style="21"/>
    <col min="1008" max="1008" width="0.36328125" style="21" customWidth="1"/>
    <col min="1009" max="1009" width="2.6328125" style="21" customWidth="1"/>
    <col min="1010" max="1010" width="3" style="21" customWidth="1"/>
    <col min="1011" max="1011" width="9.7265625" style="21" customWidth="1"/>
    <col min="1012" max="1012" width="5.6328125" style="21" customWidth="1"/>
    <col min="1013" max="1013" width="7" style="21" customWidth="1"/>
    <col min="1014" max="1014" width="7.08984375" style="21" customWidth="1"/>
    <col min="1015" max="1015" width="7.453125" style="21" customWidth="1"/>
    <col min="1016" max="1016" width="6.90625" style="21" customWidth="1"/>
    <col min="1017" max="1017" width="9" style="21" customWidth="1"/>
    <col min="1018" max="1018" width="9.6328125" style="21" customWidth="1"/>
    <col min="1019" max="1019" width="6.453125" style="21" customWidth="1"/>
    <col min="1020" max="1020" width="6.90625" style="21" customWidth="1"/>
    <col min="1021" max="1021" width="10.7265625" style="21" customWidth="1"/>
    <col min="1022" max="1023" width="9.6328125" style="21" customWidth="1"/>
    <col min="1024" max="1024" width="8.6328125" style="21" customWidth="1"/>
    <col min="1025" max="1025" width="6.90625" style="21" customWidth="1"/>
    <col min="1026" max="1026" width="5.36328125" style="21" customWidth="1"/>
    <col min="1027" max="1027" width="6.90625" style="21" customWidth="1"/>
    <col min="1028" max="1033" width="26.26953125" style="21" hidden="1" customWidth="1"/>
    <col min="1034" max="1228" width="9" style="21" customWidth="1"/>
    <col min="1229" max="1229" width="0.90625" style="21" customWidth="1"/>
    <col min="1230" max="1230" width="3.08984375" style="21" customWidth="1"/>
    <col min="1231" max="1231" width="3" style="21" customWidth="1"/>
    <col min="1232" max="1263" width="26.26953125" style="21"/>
    <col min="1264" max="1264" width="0.36328125" style="21" customWidth="1"/>
    <col min="1265" max="1265" width="2.6328125" style="21" customWidth="1"/>
    <col min="1266" max="1266" width="3" style="21" customWidth="1"/>
    <col min="1267" max="1267" width="9.7265625" style="21" customWidth="1"/>
    <col min="1268" max="1268" width="5.6328125" style="21" customWidth="1"/>
    <col min="1269" max="1269" width="7" style="21" customWidth="1"/>
    <col min="1270" max="1270" width="7.08984375" style="21" customWidth="1"/>
    <col min="1271" max="1271" width="7.453125" style="21" customWidth="1"/>
    <col min="1272" max="1272" width="6.90625" style="21" customWidth="1"/>
    <col min="1273" max="1273" width="9" style="21" customWidth="1"/>
    <col min="1274" max="1274" width="9.6328125" style="21" customWidth="1"/>
    <col min="1275" max="1275" width="6.453125" style="21" customWidth="1"/>
    <col min="1276" max="1276" width="6.90625" style="21" customWidth="1"/>
    <col min="1277" max="1277" width="10.7265625" style="21" customWidth="1"/>
    <col min="1278" max="1279" width="9.6328125" style="21" customWidth="1"/>
    <col min="1280" max="1280" width="8.6328125" style="21" customWidth="1"/>
    <col min="1281" max="1281" width="6.90625" style="21" customWidth="1"/>
    <col min="1282" max="1282" width="5.36328125" style="21" customWidth="1"/>
    <col min="1283" max="1283" width="6.90625" style="21" customWidth="1"/>
    <col min="1284" max="1289" width="26.26953125" style="21" hidden="1" customWidth="1"/>
    <col min="1290" max="1484" width="9" style="21" customWidth="1"/>
    <col min="1485" max="1485" width="0.90625" style="21" customWidth="1"/>
    <col min="1486" max="1486" width="3.08984375" style="21" customWidth="1"/>
    <col min="1487" max="1487" width="3" style="21" customWidth="1"/>
    <col min="1488" max="1519" width="26.26953125" style="21"/>
    <col min="1520" max="1520" width="0.36328125" style="21" customWidth="1"/>
    <col min="1521" max="1521" width="2.6328125" style="21" customWidth="1"/>
    <col min="1522" max="1522" width="3" style="21" customWidth="1"/>
    <col min="1523" max="1523" width="9.7265625" style="21" customWidth="1"/>
    <col min="1524" max="1524" width="5.6328125" style="21" customWidth="1"/>
    <col min="1525" max="1525" width="7" style="21" customWidth="1"/>
    <col min="1526" max="1526" width="7.08984375" style="21" customWidth="1"/>
    <col min="1527" max="1527" width="7.453125" style="21" customWidth="1"/>
    <col min="1528" max="1528" width="6.90625" style="21" customWidth="1"/>
    <col min="1529" max="1529" width="9" style="21" customWidth="1"/>
    <col min="1530" max="1530" width="9.6328125" style="21" customWidth="1"/>
    <col min="1531" max="1531" width="6.453125" style="21" customWidth="1"/>
    <col min="1532" max="1532" width="6.90625" style="21" customWidth="1"/>
    <col min="1533" max="1533" width="10.7265625" style="21" customWidth="1"/>
    <col min="1534" max="1535" width="9.6328125" style="21" customWidth="1"/>
    <col min="1536" max="1536" width="8.6328125" style="21" customWidth="1"/>
    <col min="1537" max="1537" width="6.90625" style="21" customWidth="1"/>
    <col min="1538" max="1538" width="5.36328125" style="21" customWidth="1"/>
    <col min="1539" max="1539" width="6.90625" style="21" customWidth="1"/>
    <col min="1540" max="1545" width="26.26953125" style="21" hidden="1" customWidth="1"/>
    <col min="1546" max="1740" width="9" style="21" customWidth="1"/>
    <col min="1741" max="1741" width="0.90625" style="21" customWidth="1"/>
    <col min="1742" max="1742" width="3.08984375" style="21" customWidth="1"/>
    <col min="1743" max="1743" width="3" style="21" customWidth="1"/>
    <col min="1744" max="1775" width="26.26953125" style="21"/>
    <col min="1776" max="1776" width="0.36328125" style="21" customWidth="1"/>
    <col min="1777" max="1777" width="2.6328125" style="21" customWidth="1"/>
    <col min="1778" max="1778" width="3" style="21" customWidth="1"/>
    <col min="1779" max="1779" width="9.7265625" style="21" customWidth="1"/>
    <col min="1780" max="1780" width="5.6328125" style="21" customWidth="1"/>
    <col min="1781" max="1781" width="7" style="21" customWidth="1"/>
    <col min="1782" max="1782" width="7.08984375" style="21" customWidth="1"/>
    <col min="1783" max="1783" width="7.453125" style="21" customWidth="1"/>
    <col min="1784" max="1784" width="6.90625" style="21" customWidth="1"/>
    <col min="1785" max="1785" width="9" style="21" customWidth="1"/>
    <col min="1786" max="1786" width="9.6328125" style="21" customWidth="1"/>
    <col min="1787" max="1787" width="6.453125" style="21" customWidth="1"/>
    <col min="1788" max="1788" width="6.90625" style="21" customWidth="1"/>
    <col min="1789" max="1789" width="10.7265625" style="21" customWidth="1"/>
    <col min="1790" max="1791" width="9.6328125" style="21" customWidth="1"/>
    <col min="1792" max="1792" width="8.6328125" style="21" customWidth="1"/>
    <col min="1793" max="1793" width="6.90625" style="21" customWidth="1"/>
    <col min="1794" max="1794" width="5.36328125" style="21" customWidth="1"/>
    <col min="1795" max="1795" width="6.90625" style="21" customWidth="1"/>
    <col min="1796" max="1801" width="26.26953125" style="21" hidden="1" customWidth="1"/>
    <col min="1802" max="1996" width="9" style="21" customWidth="1"/>
    <col min="1997" max="1997" width="0.90625" style="21" customWidth="1"/>
    <col min="1998" max="1998" width="3.08984375" style="21" customWidth="1"/>
    <col min="1999" max="1999" width="3" style="21" customWidth="1"/>
    <col min="2000" max="2031" width="26.26953125" style="21"/>
    <col min="2032" max="2032" width="0.36328125" style="21" customWidth="1"/>
    <col min="2033" max="2033" width="2.6328125" style="21" customWidth="1"/>
    <col min="2034" max="2034" width="3" style="21" customWidth="1"/>
    <col min="2035" max="2035" width="9.7265625" style="21" customWidth="1"/>
    <col min="2036" max="2036" width="5.6328125" style="21" customWidth="1"/>
    <col min="2037" max="2037" width="7" style="21" customWidth="1"/>
    <col min="2038" max="2038" width="7.08984375" style="21" customWidth="1"/>
    <col min="2039" max="2039" width="7.453125" style="21" customWidth="1"/>
    <col min="2040" max="2040" width="6.90625" style="21" customWidth="1"/>
    <col min="2041" max="2041" width="9" style="21" customWidth="1"/>
    <col min="2042" max="2042" width="9.6328125" style="21" customWidth="1"/>
    <col min="2043" max="2043" width="6.453125" style="21" customWidth="1"/>
    <col min="2044" max="2044" width="6.90625" style="21" customWidth="1"/>
    <col min="2045" max="2045" width="10.7265625" style="21" customWidth="1"/>
    <col min="2046" max="2047" width="9.6328125" style="21" customWidth="1"/>
    <col min="2048" max="2048" width="8.6328125" style="21" customWidth="1"/>
    <col min="2049" max="2049" width="6.90625" style="21" customWidth="1"/>
    <col min="2050" max="2050" width="5.36328125" style="21" customWidth="1"/>
    <col min="2051" max="2051" width="6.90625" style="21" customWidth="1"/>
    <col min="2052" max="2057" width="26.26953125" style="21" hidden="1" customWidth="1"/>
    <col min="2058" max="2252" width="9" style="21" customWidth="1"/>
    <col min="2253" max="2253" width="0.90625" style="21" customWidth="1"/>
    <col min="2254" max="2254" width="3.08984375" style="21" customWidth="1"/>
    <col min="2255" max="2255" width="3" style="21" customWidth="1"/>
    <col min="2256" max="2287" width="26.26953125" style="21"/>
    <col min="2288" max="2288" width="0.36328125" style="21" customWidth="1"/>
    <col min="2289" max="2289" width="2.6328125" style="21" customWidth="1"/>
    <col min="2290" max="2290" width="3" style="21" customWidth="1"/>
    <col min="2291" max="2291" width="9.7265625" style="21" customWidth="1"/>
    <col min="2292" max="2292" width="5.6328125" style="21" customWidth="1"/>
    <col min="2293" max="2293" width="7" style="21" customWidth="1"/>
    <col min="2294" max="2294" width="7.08984375" style="21" customWidth="1"/>
    <col min="2295" max="2295" width="7.453125" style="21" customWidth="1"/>
    <col min="2296" max="2296" width="6.90625" style="21" customWidth="1"/>
    <col min="2297" max="2297" width="9" style="21" customWidth="1"/>
    <col min="2298" max="2298" width="9.6328125" style="21" customWidth="1"/>
    <col min="2299" max="2299" width="6.453125" style="21" customWidth="1"/>
    <col min="2300" max="2300" width="6.90625" style="21" customWidth="1"/>
    <col min="2301" max="2301" width="10.7265625" style="21" customWidth="1"/>
    <col min="2302" max="2303" width="9.6328125" style="21" customWidth="1"/>
    <col min="2304" max="2304" width="8.6328125" style="21" customWidth="1"/>
    <col min="2305" max="2305" width="6.90625" style="21" customWidth="1"/>
    <col min="2306" max="2306" width="5.36328125" style="21" customWidth="1"/>
    <col min="2307" max="2307" width="6.90625" style="21" customWidth="1"/>
    <col min="2308" max="2313" width="26.26953125" style="21" hidden="1" customWidth="1"/>
    <col min="2314" max="2508" width="9" style="21" customWidth="1"/>
    <col min="2509" max="2509" width="0.90625" style="21" customWidth="1"/>
    <col min="2510" max="2510" width="3.08984375" style="21" customWidth="1"/>
    <col min="2511" max="2511" width="3" style="21" customWidth="1"/>
    <col min="2512" max="2543" width="26.26953125" style="21"/>
    <col min="2544" max="2544" width="0.36328125" style="21" customWidth="1"/>
    <col min="2545" max="2545" width="2.6328125" style="21" customWidth="1"/>
    <col min="2546" max="2546" width="3" style="21" customWidth="1"/>
    <col min="2547" max="2547" width="9.7265625" style="21" customWidth="1"/>
    <col min="2548" max="2548" width="5.6328125" style="21" customWidth="1"/>
    <col min="2549" max="2549" width="7" style="21" customWidth="1"/>
    <col min="2550" max="2550" width="7.08984375" style="21" customWidth="1"/>
    <col min="2551" max="2551" width="7.453125" style="21" customWidth="1"/>
    <col min="2552" max="2552" width="6.90625" style="21" customWidth="1"/>
    <col min="2553" max="2553" width="9" style="21" customWidth="1"/>
    <col min="2554" max="2554" width="9.6328125" style="21" customWidth="1"/>
    <col min="2555" max="2555" width="6.453125" style="21" customWidth="1"/>
    <col min="2556" max="2556" width="6.90625" style="21" customWidth="1"/>
    <col min="2557" max="2557" width="10.7265625" style="21" customWidth="1"/>
    <col min="2558" max="2559" width="9.6328125" style="21" customWidth="1"/>
    <col min="2560" max="2560" width="8.6328125" style="21" customWidth="1"/>
    <col min="2561" max="2561" width="6.90625" style="21" customWidth="1"/>
    <col min="2562" max="2562" width="5.36328125" style="21" customWidth="1"/>
    <col min="2563" max="2563" width="6.90625" style="21" customWidth="1"/>
    <col min="2564" max="2569" width="26.26953125" style="21" hidden="1" customWidth="1"/>
    <col min="2570" max="2764" width="9" style="21" customWidth="1"/>
    <col min="2765" max="2765" width="0.90625" style="21" customWidth="1"/>
    <col min="2766" max="2766" width="3.08984375" style="21" customWidth="1"/>
    <col min="2767" max="2767" width="3" style="21" customWidth="1"/>
    <col min="2768" max="2799" width="26.26953125" style="21"/>
    <col min="2800" max="2800" width="0.36328125" style="21" customWidth="1"/>
    <col min="2801" max="2801" width="2.6328125" style="21" customWidth="1"/>
    <col min="2802" max="2802" width="3" style="21" customWidth="1"/>
    <col min="2803" max="2803" width="9.7265625" style="21" customWidth="1"/>
    <col min="2804" max="2804" width="5.6328125" style="21" customWidth="1"/>
    <col min="2805" max="2805" width="7" style="21" customWidth="1"/>
    <col min="2806" max="2806" width="7.08984375" style="21" customWidth="1"/>
    <col min="2807" max="2807" width="7.453125" style="21" customWidth="1"/>
    <col min="2808" max="2808" width="6.90625" style="21" customWidth="1"/>
    <col min="2809" max="2809" width="9" style="21" customWidth="1"/>
    <col min="2810" max="2810" width="9.6328125" style="21" customWidth="1"/>
    <col min="2811" max="2811" width="6.453125" style="21" customWidth="1"/>
    <col min="2812" max="2812" width="6.90625" style="21" customWidth="1"/>
    <col min="2813" max="2813" width="10.7265625" style="21" customWidth="1"/>
    <col min="2814" max="2815" width="9.6328125" style="21" customWidth="1"/>
    <col min="2816" max="2816" width="8.6328125" style="21" customWidth="1"/>
    <col min="2817" max="2817" width="6.90625" style="21" customWidth="1"/>
    <col min="2818" max="2818" width="5.36328125" style="21" customWidth="1"/>
    <col min="2819" max="2819" width="6.90625" style="21" customWidth="1"/>
    <col min="2820" max="2825" width="26.26953125" style="21" hidden="1" customWidth="1"/>
    <col min="2826" max="3020" width="9" style="21" customWidth="1"/>
    <col min="3021" max="3021" width="0.90625" style="21" customWidth="1"/>
    <col min="3022" max="3022" width="3.08984375" style="21" customWidth="1"/>
    <col min="3023" max="3023" width="3" style="21" customWidth="1"/>
    <col min="3024" max="3055" width="26.26953125" style="21"/>
    <col min="3056" max="3056" width="0.36328125" style="21" customWidth="1"/>
    <col min="3057" max="3057" width="2.6328125" style="21" customWidth="1"/>
    <col min="3058" max="3058" width="3" style="21" customWidth="1"/>
    <col min="3059" max="3059" width="9.7265625" style="21" customWidth="1"/>
    <col min="3060" max="3060" width="5.6328125" style="21" customWidth="1"/>
    <col min="3061" max="3061" width="7" style="21" customWidth="1"/>
    <col min="3062" max="3062" width="7.08984375" style="21" customWidth="1"/>
    <col min="3063" max="3063" width="7.453125" style="21" customWidth="1"/>
    <col min="3064" max="3064" width="6.90625" style="21" customWidth="1"/>
    <col min="3065" max="3065" width="9" style="21" customWidth="1"/>
    <col min="3066" max="3066" width="9.6328125" style="21" customWidth="1"/>
    <col min="3067" max="3067" width="6.453125" style="21" customWidth="1"/>
    <col min="3068" max="3068" width="6.90625" style="21" customWidth="1"/>
    <col min="3069" max="3069" width="10.7265625" style="21" customWidth="1"/>
    <col min="3070" max="3071" width="9.6328125" style="21" customWidth="1"/>
    <col min="3072" max="3072" width="8.6328125" style="21" customWidth="1"/>
    <col min="3073" max="3073" width="6.90625" style="21" customWidth="1"/>
    <col min="3074" max="3074" width="5.36328125" style="21" customWidth="1"/>
    <col min="3075" max="3075" width="6.90625" style="21" customWidth="1"/>
    <col min="3076" max="3081" width="26.26953125" style="21" hidden="1" customWidth="1"/>
    <col min="3082" max="3276" width="9" style="21" customWidth="1"/>
    <col min="3277" max="3277" width="0.90625" style="21" customWidth="1"/>
    <col min="3278" max="3278" width="3.08984375" style="21" customWidth="1"/>
    <col min="3279" max="3279" width="3" style="21" customWidth="1"/>
    <col min="3280" max="3311" width="26.26953125" style="21"/>
    <col min="3312" max="3312" width="0.36328125" style="21" customWidth="1"/>
    <col min="3313" max="3313" width="2.6328125" style="21" customWidth="1"/>
    <col min="3314" max="3314" width="3" style="21" customWidth="1"/>
    <col min="3315" max="3315" width="9.7265625" style="21" customWidth="1"/>
    <col min="3316" max="3316" width="5.6328125" style="21" customWidth="1"/>
    <col min="3317" max="3317" width="7" style="21" customWidth="1"/>
    <col min="3318" max="3318" width="7.08984375" style="21" customWidth="1"/>
    <col min="3319" max="3319" width="7.453125" style="21" customWidth="1"/>
    <col min="3320" max="3320" width="6.90625" style="21" customWidth="1"/>
    <col min="3321" max="3321" width="9" style="21" customWidth="1"/>
    <col min="3322" max="3322" width="9.6328125" style="21" customWidth="1"/>
    <col min="3323" max="3323" width="6.453125" style="21" customWidth="1"/>
    <col min="3324" max="3324" width="6.90625" style="21" customWidth="1"/>
    <col min="3325" max="3325" width="10.7265625" style="21" customWidth="1"/>
    <col min="3326" max="3327" width="9.6328125" style="21" customWidth="1"/>
    <col min="3328" max="3328" width="8.6328125" style="21" customWidth="1"/>
    <col min="3329" max="3329" width="6.90625" style="21" customWidth="1"/>
    <col min="3330" max="3330" width="5.36328125" style="21" customWidth="1"/>
    <col min="3331" max="3331" width="6.90625" style="21" customWidth="1"/>
    <col min="3332" max="3337" width="26.26953125" style="21" hidden="1" customWidth="1"/>
    <col min="3338" max="3532" width="9" style="21" customWidth="1"/>
    <col min="3533" max="3533" width="0.90625" style="21" customWidth="1"/>
    <col min="3534" max="3534" width="3.08984375" style="21" customWidth="1"/>
    <col min="3535" max="3535" width="3" style="21" customWidth="1"/>
    <col min="3536" max="3567" width="26.26953125" style="21"/>
    <col min="3568" max="3568" width="0.36328125" style="21" customWidth="1"/>
    <col min="3569" max="3569" width="2.6328125" style="21" customWidth="1"/>
    <col min="3570" max="3570" width="3" style="21" customWidth="1"/>
    <col min="3571" max="3571" width="9.7265625" style="21" customWidth="1"/>
    <col min="3572" max="3572" width="5.6328125" style="21" customWidth="1"/>
    <col min="3573" max="3573" width="7" style="21" customWidth="1"/>
    <col min="3574" max="3574" width="7.08984375" style="21" customWidth="1"/>
    <col min="3575" max="3575" width="7.453125" style="21" customWidth="1"/>
    <col min="3576" max="3576" width="6.90625" style="21" customWidth="1"/>
    <col min="3577" max="3577" width="9" style="21" customWidth="1"/>
    <col min="3578" max="3578" width="9.6328125" style="21" customWidth="1"/>
    <col min="3579" max="3579" width="6.453125" style="21" customWidth="1"/>
    <col min="3580" max="3580" width="6.90625" style="21" customWidth="1"/>
    <col min="3581" max="3581" width="10.7265625" style="21" customWidth="1"/>
    <col min="3582" max="3583" width="9.6328125" style="21" customWidth="1"/>
    <col min="3584" max="3584" width="8.6328125" style="21" customWidth="1"/>
    <col min="3585" max="3585" width="6.90625" style="21" customWidth="1"/>
    <col min="3586" max="3586" width="5.36328125" style="21" customWidth="1"/>
    <col min="3587" max="3587" width="6.90625" style="21" customWidth="1"/>
    <col min="3588" max="3593" width="26.26953125" style="21" hidden="1" customWidth="1"/>
    <col min="3594" max="3788" width="9" style="21" customWidth="1"/>
    <col min="3789" max="3789" width="0.90625" style="21" customWidth="1"/>
    <col min="3790" max="3790" width="3.08984375" style="21" customWidth="1"/>
    <col min="3791" max="3791" width="3" style="21" customWidth="1"/>
    <col min="3792" max="3823" width="26.26953125" style="21"/>
    <col min="3824" max="3824" width="0.36328125" style="21" customWidth="1"/>
    <col min="3825" max="3825" width="2.6328125" style="21" customWidth="1"/>
    <col min="3826" max="3826" width="3" style="21" customWidth="1"/>
    <col min="3827" max="3827" width="9.7265625" style="21" customWidth="1"/>
    <col min="3828" max="3828" width="5.6328125" style="21" customWidth="1"/>
    <col min="3829" max="3829" width="7" style="21" customWidth="1"/>
    <col min="3830" max="3830" width="7.08984375" style="21" customWidth="1"/>
    <col min="3831" max="3831" width="7.453125" style="21" customWidth="1"/>
    <col min="3832" max="3832" width="6.90625" style="21" customWidth="1"/>
    <col min="3833" max="3833" width="9" style="21" customWidth="1"/>
    <col min="3834" max="3834" width="9.6328125" style="21" customWidth="1"/>
    <col min="3835" max="3835" width="6.453125" style="21" customWidth="1"/>
    <col min="3836" max="3836" width="6.90625" style="21" customWidth="1"/>
    <col min="3837" max="3837" width="10.7265625" style="21" customWidth="1"/>
    <col min="3838" max="3839" width="9.6328125" style="21" customWidth="1"/>
    <col min="3840" max="3840" width="8.6328125" style="21" customWidth="1"/>
    <col min="3841" max="3841" width="6.90625" style="21" customWidth="1"/>
    <col min="3842" max="3842" width="5.36328125" style="21" customWidth="1"/>
    <col min="3843" max="3843" width="6.90625" style="21" customWidth="1"/>
    <col min="3844" max="3849" width="26.26953125" style="21" hidden="1" customWidth="1"/>
    <col min="3850" max="4044" width="9" style="21" customWidth="1"/>
    <col min="4045" max="4045" width="0.90625" style="21" customWidth="1"/>
    <col min="4046" max="4046" width="3.08984375" style="21" customWidth="1"/>
    <col min="4047" max="4047" width="3" style="21" customWidth="1"/>
    <col min="4048" max="4079" width="26.26953125" style="21"/>
    <col min="4080" max="4080" width="0.36328125" style="21" customWidth="1"/>
    <col min="4081" max="4081" width="2.6328125" style="21" customWidth="1"/>
    <col min="4082" max="4082" width="3" style="21" customWidth="1"/>
    <col min="4083" max="4083" width="9.7265625" style="21" customWidth="1"/>
    <col min="4084" max="4084" width="5.6328125" style="21" customWidth="1"/>
    <col min="4085" max="4085" width="7" style="21" customWidth="1"/>
    <col min="4086" max="4086" width="7.08984375" style="21" customWidth="1"/>
    <col min="4087" max="4087" width="7.453125" style="21" customWidth="1"/>
    <col min="4088" max="4088" width="6.90625" style="21" customWidth="1"/>
    <col min="4089" max="4089" width="9" style="21" customWidth="1"/>
    <col min="4090" max="4090" width="9.6328125" style="21" customWidth="1"/>
    <col min="4091" max="4091" width="6.453125" style="21" customWidth="1"/>
    <col min="4092" max="4092" width="6.90625" style="21" customWidth="1"/>
    <col min="4093" max="4093" width="10.7265625" style="21" customWidth="1"/>
    <col min="4094" max="4095" width="9.6328125" style="21" customWidth="1"/>
    <col min="4096" max="4096" width="8.6328125" style="21" customWidth="1"/>
    <col min="4097" max="4097" width="6.90625" style="21" customWidth="1"/>
    <col min="4098" max="4098" width="5.36328125" style="21" customWidth="1"/>
    <col min="4099" max="4099" width="6.90625" style="21" customWidth="1"/>
    <col min="4100" max="4105" width="26.26953125" style="21" hidden="1" customWidth="1"/>
    <col min="4106" max="4300" width="9" style="21" customWidth="1"/>
    <col min="4301" max="4301" width="0.90625" style="21" customWidth="1"/>
    <col min="4302" max="4302" width="3.08984375" style="21" customWidth="1"/>
    <col min="4303" max="4303" width="3" style="21" customWidth="1"/>
    <col min="4304" max="4335" width="26.26953125" style="21"/>
    <col min="4336" max="4336" width="0.36328125" style="21" customWidth="1"/>
    <col min="4337" max="4337" width="2.6328125" style="21" customWidth="1"/>
    <col min="4338" max="4338" width="3" style="21" customWidth="1"/>
    <col min="4339" max="4339" width="9.7265625" style="21" customWidth="1"/>
    <col min="4340" max="4340" width="5.6328125" style="21" customWidth="1"/>
    <col min="4341" max="4341" width="7" style="21" customWidth="1"/>
    <col min="4342" max="4342" width="7.08984375" style="21" customWidth="1"/>
    <col min="4343" max="4343" width="7.453125" style="21" customWidth="1"/>
    <col min="4344" max="4344" width="6.90625" style="21" customWidth="1"/>
    <col min="4345" max="4345" width="9" style="21" customWidth="1"/>
    <col min="4346" max="4346" width="9.6328125" style="21" customWidth="1"/>
    <col min="4347" max="4347" width="6.453125" style="21" customWidth="1"/>
    <col min="4348" max="4348" width="6.90625" style="21" customWidth="1"/>
    <col min="4349" max="4349" width="10.7265625" style="21" customWidth="1"/>
    <col min="4350" max="4351" width="9.6328125" style="21" customWidth="1"/>
    <col min="4352" max="4352" width="8.6328125" style="21" customWidth="1"/>
    <col min="4353" max="4353" width="6.90625" style="21" customWidth="1"/>
    <col min="4354" max="4354" width="5.36328125" style="21" customWidth="1"/>
    <col min="4355" max="4355" width="6.90625" style="21" customWidth="1"/>
    <col min="4356" max="4361" width="26.26953125" style="21" hidden="1" customWidth="1"/>
    <col min="4362" max="4556" width="9" style="21" customWidth="1"/>
    <col min="4557" max="4557" width="0.90625" style="21" customWidth="1"/>
    <col min="4558" max="4558" width="3.08984375" style="21" customWidth="1"/>
    <col min="4559" max="4559" width="3" style="21" customWidth="1"/>
    <col min="4560" max="4591" width="26.26953125" style="21"/>
    <col min="4592" max="4592" width="0.36328125" style="21" customWidth="1"/>
    <col min="4593" max="4593" width="2.6328125" style="21" customWidth="1"/>
    <col min="4594" max="4594" width="3" style="21" customWidth="1"/>
    <col min="4595" max="4595" width="9.7265625" style="21" customWidth="1"/>
    <col min="4596" max="4596" width="5.6328125" style="21" customWidth="1"/>
    <col min="4597" max="4597" width="7" style="21" customWidth="1"/>
    <col min="4598" max="4598" width="7.08984375" style="21" customWidth="1"/>
    <col min="4599" max="4599" width="7.453125" style="21" customWidth="1"/>
    <col min="4600" max="4600" width="6.90625" style="21" customWidth="1"/>
    <col min="4601" max="4601" width="9" style="21" customWidth="1"/>
    <col min="4602" max="4602" width="9.6328125" style="21" customWidth="1"/>
    <col min="4603" max="4603" width="6.453125" style="21" customWidth="1"/>
    <col min="4604" max="4604" width="6.90625" style="21" customWidth="1"/>
    <col min="4605" max="4605" width="10.7265625" style="21" customWidth="1"/>
    <col min="4606" max="4607" width="9.6328125" style="21" customWidth="1"/>
    <col min="4608" max="4608" width="8.6328125" style="21" customWidth="1"/>
    <col min="4609" max="4609" width="6.90625" style="21" customWidth="1"/>
    <col min="4610" max="4610" width="5.36328125" style="21" customWidth="1"/>
    <col min="4611" max="4611" width="6.90625" style="21" customWidth="1"/>
    <col min="4612" max="4617" width="26.26953125" style="21" hidden="1" customWidth="1"/>
    <col min="4618" max="4812" width="9" style="21" customWidth="1"/>
    <col min="4813" max="4813" width="0.90625" style="21" customWidth="1"/>
    <col min="4814" max="4814" width="3.08984375" style="21" customWidth="1"/>
    <col min="4815" max="4815" width="3" style="21" customWidth="1"/>
    <col min="4816" max="4847" width="26.26953125" style="21"/>
    <col min="4848" max="4848" width="0.36328125" style="21" customWidth="1"/>
    <col min="4849" max="4849" width="2.6328125" style="21" customWidth="1"/>
    <col min="4850" max="4850" width="3" style="21" customWidth="1"/>
    <col min="4851" max="4851" width="9.7265625" style="21" customWidth="1"/>
    <col min="4852" max="4852" width="5.6328125" style="21" customWidth="1"/>
    <col min="4853" max="4853" width="7" style="21" customWidth="1"/>
    <col min="4854" max="4854" width="7.08984375" style="21" customWidth="1"/>
    <col min="4855" max="4855" width="7.453125" style="21" customWidth="1"/>
    <col min="4856" max="4856" width="6.90625" style="21" customWidth="1"/>
    <col min="4857" max="4857" width="9" style="21" customWidth="1"/>
    <col min="4858" max="4858" width="9.6328125" style="21" customWidth="1"/>
    <col min="4859" max="4859" width="6.453125" style="21" customWidth="1"/>
    <col min="4860" max="4860" width="6.90625" style="21" customWidth="1"/>
    <col min="4861" max="4861" width="10.7265625" style="21" customWidth="1"/>
    <col min="4862" max="4863" width="9.6328125" style="21" customWidth="1"/>
    <col min="4864" max="4864" width="8.6328125" style="21" customWidth="1"/>
    <col min="4865" max="4865" width="6.90625" style="21" customWidth="1"/>
    <col min="4866" max="4866" width="5.36328125" style="21" customWidth="1"/>
    <col min="4867" max="4867" width="6.90625" style="21" customWidth="1"/>
    <col min="4868" max="4873" width="26.26953125" style="21" hidden="1" customWidth="1"/>
    <col min="4874" max="5068" width="9" style="21" customWidth="1"/>
    <col min="5069" max="5069" width="0.90625" style="21" customWidth="1"/>
    <col min="5070" max="5070" width="3.08984375" style="21" customWidth="1"/>
    <col min="5071" max="5071" width="3" style="21" customWidth="1"/>
    <col min="5072" max="5103" width="26.26953125" style="21"/>
    <col min="5104" max="5104" width="0.36328125" style="21" customWidth="1"/>
    <col min="5105" max="5105" width="2.6328125" style="21" customWidth="1"/>
    <col min="5106" max="5106" width="3" style="21" customWidth="1"/>
    <col min="5107" max="5107" width="9.7265625" style="21" customWidth="1"/>
    <col min="5108" max="5108" width="5.6328125" style="21" customWidth="1"/>
    <col min="5109" max="5109" width="7" style="21" customWidth="1"/>
    <col min="5110" max="5110" width="7.08984375" style="21" customWidth="1"/>
    <col min="5111" max="5111" width="7.453125" style="21" customWidth="1"/>
    <col min="5112" max="5112" width="6.90625" style="21" customWidth="1"/>
    <col min="5113" max="5113" width="9" style="21" customWidth="1"/>
    <col min="5114" max="5114" width="9.6328125" style="21" customWidth="1"/>
    <col min="5115" max="5115" width="6.453125" style="21" customWidth="1"/>
    <col min="5116" max="5116" width="6.90625" style="21" customWidth="1"/>
    <col min="5117" max="5117" width="10.7265625" style="21" customWidth="1"/>
    <col min="5118" max="5119" width="9.6328125" style="21" customWidth="1"/>
    <col min="5120" max="5120" width="8.6328125" style="21" customWidth="1"/>
    <col min="5121" max="5121" width="6.90625" style="21" customWidth="1"/>
    <col min="5122" max="5122" width="5.36328125" style="21" customWidth="1"/>
    <col min="5123" max="5123" width="6.90625" style="21" customWidth="1"/>
    <col min="5124" max="5129" width="26.26953125" style="21" hidden="1" customWidth="1"/>
    <col min="5130" max="5324" width="9" style="21" customWidth="1"/>
    <col min="5325" max="5325" width="0.90625" style="21" customWidth="1"/>
    <col min="5326" max="5326" width="3.08984375" style="21" customWidth="1"/>
    <col min="5327" max="5327" width="3" style="21" customWidth="1"/>
    <col min="5328" max="5359" width="26.26953125" style="21"/>
    <col min="5360" max="5360" width="0.36328125" style="21" customWidth="1"/>
    <col min="5361" max="5361" width="2.6328125" style="21" customWidth="1"/>
    <col min="5362" max="5362" width="3" style="21" customWidth="1"/>
    <col min="5363" max="5363" width="9.7265625" style="21" customWidth="1"/>
    <col min="5364" max="5364" width="5.6328125" style="21" customWidth="1"/>
    <col min="5365" max="5365" width="7" style="21" customWidth="1"/>
    <col min="5366" max="5366" width="7.08984375" style="21" customWidth="1"/>
    <col min="5367" max="5367" width="7.453125" style="21" customWidth="1"/>
    <col min="5368" max="5368" width="6.90625" style="21" customWidth="1"/>
    <col min="5369" max="5369" width="9" style="21" customWidth="1"/>
    <col min="5370" max="5370" width="9.6328125" style="21" customWidth="1"/>
    <col min="5371" max="5371" width="6.453125" style="21" customWidth="1"/>
    <col min="5372" max="5372" width="6.90625" style="21" customWidth="1"/>
    <col min="5373" max="5373" width="10.7265625" style="21" customWidth="1"/>
    <col min="5374" max="5375" width="9.6328125" style="21" customWidth="1"/>
    <col min="5376" max="5376" width="8.6328125" style="21" customWidth="1"/>
    <col min="5377" max="5377" width="6.90625" style="21" customWidth="1"/>
    <col min="5378" max="5378" width="5.36328125" style="21" customWidth="1"/>
    <col min="5379" max="5379" width="6.90625" style="21" customWidth="1"/>
    <col min="5380" max="5385" width="26.26953125" style="21" hidden="1" customWidth="1"/>
    <col min="5386" max="5580" width="9" style="21" customWidth="1"/>
    <col min="5581" max="5581" width="0.90625" style="21" customWidth="1"/>
    <col min="5582" max="5582" width="3.08984375" style="21" customWidth="1"/>
    <col min="5583" max="5583" width="3" style="21" customWidth="1"/>
    <col min="5584" max="5615" width="26.26953125" style="21"/>
    <col min="5616" max="5616" width="0.36328125" style="21" customWidth="1"/>
    <col min="5617" max="5617" width="2.6328125" style="21" customWidth="1"/>
    <col min="5618" max="5618" width="3" style="21" customWidth="1"/>
    <col min="5619" max="5619" width="9.7265625" style="21" customWidth="1"/>
    <col min="5620" max="5620" width="5.6328125" style="21" customWidth="1"/>
    <col min="5621" max="5621" width="7" style="21" customWidth="1"/>
    <col min="5622" max="5622" width="7.08984375" style="21" customWidth="1"/>
    <col min="5623" max="5623" width="7.453125" style="21" customWidth="1"/>
    <col min="5624" max="5624" width="6.90625" style="21" customWidth="1"/>
    <col min="5625" max="5625" width="9" style="21" customWidth="1"/>
    <col min="5626" max="5626" width="9.6328125" style="21" customWidth="1"/>
    <col min="5627" max="5627" width="6.453125" style="21" customWidth="1"/>
    <col min="5628" max="5628" width="6.90625" style="21" customWidth="1"/>
    <col min="5629" max="5629" width="10.7265625" style="21" customWidth="1"/>
    <col min="5630" max="5631" width="9.6328125" style="21" customWidth="1"/>
    <col min="5632" max="5632" width="8.6328125" style="21" customWidth="1"/>
    <col min="5633" max="5633" width="6.90625" style="21" customWidth="1"/>
    <col min="5634" max="5634" width="5.36328125" style="21" customWidth="1"/>
    <col min="5635" max="5635" width="6.90625" style="21" customWidth="1"/>
    <col min="5636" max="5641" width="26.26953125" style="21" hidden="1" customWidth="1"/>
    <col min="5642" max="5836" width="9" style="21" customWidth="1"/>
    <col min="5837" max="5837" width="0.90625" style="21" customWidth="1"/>
    <col min="5838" max="5838" width="3.08984375" style="21" customWidth="1"/>
    <col min="5839" max="5839" width="3" style="21" customWidth="1"/>
    <col min="5840" max="5871" width="26.26953125" style="21"/>
    <col min="5872" max="5872" width="0.36328125" style="21" customWidth="1"/>
    <col min="5873" max="5873" width="2.6328125" style="21" customWidth="1"/>
    <col min="5874" max="5874" width="3" style="21" customWidth="1"/>
    <col min="5875" max="5875" width="9.7265625" style="21" customWidth="1"/>
    <col min="5876" max="5876" width="5.6328125" style="21" customWidth="1"/>
    <col min="5877" max="5877" width="7" style="21" customWidth="1"/>
    <col min="5878" max="5878" width="7.08984375" style="21" customWidth="1"/>
    <col min="5879" max="5879" width="7.453125" style="21" customWidth="1"/>
    <col min="5880" max="5880" width="6.90625" style="21" customWidth="1"/>
    <col min="5881" max="5881" width="9" style="21" customWidth="1"/>
    <col min="5882" max="5882" width="9.6328125" style="21" customWidth="1"/>
    <col min="5883" max="5883" width="6.453125" style="21" customWidth="1"/>
    <col min="5884" max="5884" width="6.90625" style="21" customWidth="1"/>
    <col min="5885" max="5885" width="10.7265625" style="21" customWidth="1"/>
    <col min="5886" max="5887" width="9.6328125" style="21" customWidth="1"/>
    <col min="5888" max="5888" width="8.6328125" style="21" customWidth="1"/>
    <col min="5889" max="5889" width="6.90625" style="21" customWidth="1"/>
    <col min="5890" max="5890" width="5.36328125" style="21" customWidth="1"/>
    <col min="5891" max="5891" width="6.90625" style="21" customWidth="1"/>
    <col min="5892" max="5897" width="26.26953125" style="21" hidden="1" customWidth="1"/>
    <col min="5898" max="6092" width="9" style="21" customWidth="1"/>
    <col min="6093" max="6093" width="0.90625" style="21" customWidth="1"/>
    <col min="6094" max="6094" width="3.08984375" style="21" customWidth="1"/>
    <col min="6095" max="6095" width="3" style="21" customWidth="1"/>
    <col min="6096" max="6127" width="26.26953125" style="21"/>
    <col min="6128" max="6128" width="0.36328125" style="21" customWidth="1"/>
    <col min="6129" max="6129" width="2.6328125" style="21" customWidth="1"/>
    <col min="6130" max="6130" width="3" style="21" customWidth="1"/>
    <col min="6131" max="6131" width="9.7265625" style="21" customWidth="1"/>
    <col min="6132" max="6132" width="5.6328125" style="21" customWidth="1"/>
    <col min="6133" max="6133" width="7" style="21" customWidth="1"/>
    <col min="6134" max="6134" width="7.08984375" style="21" customWidth="1"/>
    <col min="6135" max="6135" width="7.453125" style="21" customWidth="1"/>
    <col min="6136" max="6136" width="6.90625" style="21" customWidth="1"/>
    <col min="6137" max="6137" width="9" style="21" customWidth="1"/>
    <col min="6138" max="6138" width="9.6328125" style="21" customWidth="1"/>
    <col min="6139" max="6139" width="6.453125" style="21" customWidth="1"/>
    <col min="6140" max="6140" width="6.90625" style="21" customWidth="1"/>
    <col min="6141" max="6141" width="10.7265625" style="21" customWidth="1"/>
    <col min="6142" max="6143" width="9.6328125" style="21" customWidth="1"/>
    <col min="6144" max="6144" width="8.6328125" style="21" customWidth="1"/>
    <col min="6145" max="6145" width="6.90625" style="21" customWidth="1"/>
    <col min="6146" max="6146" width="5.36328125" style="21" customWidth="1"/>
    <col min="6147" max="6147" width="6.90625" style="21" customWidth="1"/>
    <col min="6148" max="6153" width="26.26953125" style="21" hidden="1" customWidth="1"/>
    <col min="6154" max="6348" width="9" style="21" customWidth="1"/>
    <col min="6349" max="6349" width="0.90625" style="21" customWidth="1"/>
    <col min="6350" max="6350" width="3.08984375" style="21" customWidth="1"/>
    <col min="6351" max="6351" width="3" style="21" customWidth="1"/>
    <col min="6352" max="6383" width="26.26953125" style="21"/>
    <col min="6384" max="6384" width="0.36328125" style="21" customWidth="1"/>
    <col min="6385" max="6385" width="2.6328125" style="21" customWidth="1"/>
    <col min="6386" max="6386" width="3" style="21" customWidth="1"/>
    <col min="6387" max="6387" width="9.7265625" style="21" customWidth="1"/>
    <col min="6388" max="6388" width="5.6328125" style="21" customWidth="1"/>
    <col min="6389" max="6389" width="7" style="21" customWidth="1"/>
    <col min="6390" max="6390" width="7.08984375" style="21" customWidth="1"/>
    <col min="6391" max="6391" width="7.453125" style="21" customWidth="1"/>
    <col min="6392" max="6392" width="6.90625" style="21" customWidth="1"/>
    <col min="6393" max="6393" width="9" style="21" customWidth="1"/>
    <col min="6394" max="6394" width="9.6328125" style="21" customWidth="1"/>
    <col min="6395" max="6395" width="6.453125" style="21" customWidth="1"/>
    <col min="6396" max="6396" width="6.90625" style="21" customWidth="1"/>
    <col min="6397" max="6397" width="10.7265625" style="21" customWidth="1"/>
    <col min="6398" max="6399" width="9.6328125" style="21" customWidth="1"/>
    <col min="6400" max="6400" width="8.6328125" style="21" customWidth="1"/>
    <col min="6401" max="6401" width="6.90625" style="21" customWidth="1"/>
    <col min="6402" max="6402" width="5.36328125" style="21" customWidth="1"/>
    <col min="6403" max="6403" width="6.90625" style="21" customWidth="1"/>
    <col min="6404" max="6409" width="26.26953125" style="21" hidden="1" customWidth="1"/>
    <col min="6410" max="6604" width="9" style="21" customWidth="1"/>
    <col min="6605" max="6605" width="0.90625" style="21" customWidth="1"/>
    <col min="6606" max="6606" width="3.08984375" style="21" customWidth="1"/>
    <col min="6607" max="6607" width="3" style="21" customWidth="1"/>
    <col min="6608" max="6639" width="26.26953125" style="21"/>
    <col min="6640" max="6640" width="0.36328125" style="21" customWidth="1"/>
    <col min="6641" max="6641" width="2.6328125" style="21" customWidth="1"/>
    <col min="6642" max="6642" width="3" style="21" customWidth="1"/>
    <col min="6643" max="6643" width="9.7265625" style="21" customWidth="1"/>
    <col min="6644" max="6644" width="5.6328125" style="21" customWidth="1"/>
    <col min="6645" max="6645" width="7" style="21" customWidth="1"/>
    <col min="6646" max="6646" width="7.08984375" style="21" customWidth="1"/>
    <col min="6647" max="6647" width="7.453125" style="21" customWidth="1"/>
    <col min="6648" max="6648" width="6.90625" style="21" customWidth="1"/>
    <col min="6649" max="6649" width="9" style="21" customWidth="1"/>
    <col min="6650" max="6650" width="9.6328125" style="21" customWidth="1"/>
    <col min="6651" max="6651" width="6.453125" style="21" customWidth="1"/>
    <col min="6652" max="6652" width="6.90625" style="21" customWidth="1"/>
    <col min="6653" max="6653" width="10.7265625" style="21" customWidth="1"/>
    <col min="6654" max="6655" width="9.6328125" style="21" customWidth="1"/>
    <col min="6656" max="6656" width="8.6328125" style="21" customWidth="1"/>
    <col min="6657" max="6657" width="6.90625" style="21" customWidth="1"/>
    <col min="6658" max="6658" width="5.36328125" style="21" customWidth="1"/>
    <col min="6659" max="6659" width="6.90625" style="21" customWidth="1"/>
    <col min="6660" max="6665" width="26.26953125" style="21" hidden="1" customWidth="1"/>
    <col min="6666" max="6860" width="9" style="21" customWidth="1"/>
    <col min="6861" max="6861" width="0.90625" style="21" customWidth="1"/>
    <col min="6862" max="6862" width="3.08984375" style="21" customWidth="1"/>
    <col min="6863" max="6863" width="3" style="21" customWidth="1"/>
    <col min="6864" max="6895" width="26.26953125" style="21"/>
    <col min="6896" max="6896" width="0.36328125" style="21" customWidth="1"/>
    <col min="6897" max="6897" width="2.6328125" style="21" customWidth="1"/>
    <col min="6898" max="6898" width="3" style="21" customWidth="1"/>
    <col min="6899" max="6899" width="9.7265625" style="21" customWidth="1"/>
    <col min="6900" max="6900" width="5.6328125" style="21" customWidth="1"/>
    <col min="6901" max="6901" width="7" style="21" customWidth="1"/>
    <col min="6902" max="6902" width="7.08984375" style="21" customWidth="1"/>
    <col min="6903" max="6903" width="7.453125" style="21" customWidth="1"/>
    <col min="6904" max="6904" width="6.90625" style="21" customWidth="1"/>
    <col min="6905" max="6905" width="9" style="21" customWidth="1"/>
    <col min="6906" max="6906" width="9.6328125" style="21" customWidth="1"/>
    <col min="6907" max="6907" width="6.453125" style="21" customWidth="1"/>
    <col min="6908" max="6908" width="6.90625" style="21" customWidth="1"/>
    <col min="6909" max="6909" width="10.7265625" style="21" customWidth="1"/>
    <col min="6910" max="6911" width="9.6328125" style="21" customWidth="1"/>
    <col min="6912" max="6912" width="8.6328125" style="21" customWidth="1"/>
    <col min="6913" max="6913" width="6.90625" style="21" customWidth="1"/>
    <col min="6914" max="6914" width="5.36328125" style="21" customWidth="1"/>
    <col min="6915" max="6915" width="6.90625" style="21" customWidth="1"/>
    <col min="6916" max="6921" width="26.26953125" style="21" hidden="1" customWidth="1"/>
    <col min="6922" max="7116" width="9" style="21" customWidth="1"/>
    <col min="7117" max="7117" width="0.90625" style="21" customWidth="1"/>
    <col min="7118" max="7118" width="3.08984375" style="21" customWidth="1"/>
    <col min="7119" max="7119" width="3" style="21" customWidth="1"/>
    <col min="7120" max="7151" width="26.26953125" style="21"/>
    <col min="7152" max="7152" width="0.36328125" style="21" customWidth="1"/>
    <col min="7153" max="7153" width="2.6328125" style="21" customWidth="1"/>
    <col min="7154" max="7154" width="3" style="21" customWidth="1"/>
    <col min="7155" max="7155" width="9.7265625" style="21" customWidth="1"/>
    <col min="7156" max="7156" width="5.6328125" style="21" customWidth="1"/>
    <col min="7157" max="7157" width="7" style="21" customWidth="1"/>
    <col min="7158" max="7158" width="7.08984375" style="21" customWidth="1"/>
    <col min="7159" max="7159" width="7.453125" style="21" customWidth="1"/>
    <col min="7160" max="7160" width="6.90625" style="21" customWidth="1"/>
    <col min="7161" max="7161" width="9" style="21" customWidth="1"/>
    <col min="7162" max="7162" width="9.6328125" style="21" customWidth="1"/>
    <col min="7163" max="7163" width="6.453125" style="21" customWidth="1"/>
    <col min="7164" max="7164" width="6.90625" style="21" customWidth="1"/>
    <col min="7165" max="7165" width="10.7265625" style="21" customWidth="1"/>
    <col min="7166" max="7167" width="9.6328125" style="21" customWidth="1"/>
    <col min="7168" max="7168" width="8.6328125" style="21" customWidth="1"/>
    <col min="7169" max="7169" width="6.90625" style="21" customWidth="1"/>
    <col min="7170" max="7170" width="5.36328125" style="21" customWidth="1"/>
    <col min="7171" max="7171" width="6.90625" style="21" customWidth="1"/>
    <col min="7172" max="7177" width="26.26953125" style="21" hidden="1" customWidth="1"/>
    <col min="7178" max="7372" width="9" style="21" customWidth="1"/>
    <col min="7373" max="7373" width="0.90625" style="21" customWidth="1"/>
    <col min="7374" max="7374" width="3.08984375" style="21" customWidth="1"/>
    <col min="7375" max="7375" width="3" style="21" customWidth="1"/>
    <col min="7376" max="7407" width="26.26953125" style="21"/>
    <col min="7408" max="7408" width="0.36328125" style="21" customWidth="1"/>
    <col min="7409" max="7409" width="2.6328125" style="21" customWidth="1"/>
    <col min="7410" max="7410" width="3" style="21" customWidth="1"/>
    <col min="7411" max="7411" width="9.7265625" style="21" customWidth="1"/>
    <col min="7412" max="7412" width="5.6328125" style="21" customWidth="1"/>
    <col min="7413" max="7413" width="7" style="21" customWidth="1"/>
    <col min="7414" max="7414" width="7.08984375" style="21" customWidth="1"/>
    <col min="7415" max="7415" width="7.453125" style="21" customWidth="1"/>
    <col min="7416" max="7416" width="6.90625" style="21" customWidth="1"/>
    <col min="7417" max="7417" width="9" style="21" customWidth="1"/>
    <col min="7418" max="7418" width="9.6328125" style="21" customWidth="1"/>
    <col min="7419" max="7419" width="6.453125" style="21" customWidth="1"/>
    <col min="7420" max="7420" width="6.90625" style="21" customWidth="1"/>
    <col min="7421" max="7421" width="10.7265625" style="21" customWidth="1"/>
    <col min="7422" max="7423" width="9.6328125" style="21" customWidth="1"/>
    <col min="7424" max="7424" width="8.6328125" style="21" customWidth="1"/>
    <col min="7425" max="7425" width="6.90625" style="21" customWidth="1"/>
    <col min="7426" max="7426" width="5.36328125" style="21" customWidth="1"/>
    <col min="7427" max="7427" width="6.90625" style="21" customWidth="1"/>
    <col min="7428" max="7433" width="26.26953125" style="21" hidden="1" customWidth="1"/>
    <col min="7434" max="7628" width="9" style="21" customWidth="1"/>
    <col min="7629" max="7629" width="0.90625" style="21" customWidth="1"/>
    <col min="7630" max="7630" width="3.08984375" style="21" customWidth="1"/>
    <col min="7631" max="7631" width="3" style="21" customWidth="1"/>
    <col min="7632" max="7663" width="26.26953125" style="21"/>
    <col min="7664" max="7664" width="0.36328125" style="21" customWidth="1"/>
    <col min="7665" max="7665" width="2.6328125" style="21" customWidth="1"/>
    <col min="7666" max="7666" width="3" style="21" customWidth="1"/>
    <col min="7667" max="7667" width="9.7265625" style="21" customWidth="1"/>
    <col min="7668" max="7668" width="5.6328125" style="21" customWidth="1"/>
    <col min="7669" max="7669" width="7" style="21" customWidth="1"/>
    <col min="7670" max="7670" width="7.08984375" style="21" customWidth="1"/>
    <col min="7671" max="7671" width="7.453125" style="21" customWidth="1"/>
    <col min="7672" max="7672" width="6.90625" style="21" customWidth="1"/>
    <col min="7673" max="7673" width="9" style="21" customWidth="1"/>
    <col min="7674" max="7674" width="9.6328125" style="21" customWidth="1"/>
    <col min="7675" max="7675" width="6.453125" style="21" customWidth="1"/>
    <col min="7676" max="7676" width="6.90625" style="21" customWidth="1"/>
    <col min="7677" max="7677" width="10.7265625" style="21" customWidth="1"/>
    <col min="7678" max="7679" width="9.6328125" style="21" customWidth="1"/>
    <col min="7680" max="7680" width="8.6328125" style="21" customWidth="1"/>
    <col min="7681" max="7681" width="6.90625" style="21" customWidth="1"/>
    <col min="7682" max="7682" width="5.36328125" style="21" customWidth="1"/>
    <col min="7683" max="7683" width="6.90625" style="21" customWidth="1"/>
    <col min="7684" max="7689" width="26.26953125" style="21" hidden="1" customWidth="1"/>
    <col min="7690" max="7884" width="9" style="21" customWidth="1"/>
    <col min="7885" max="7885" width="0.90625" style="21" customWidth="1"/>
    <col min="7886" max="7886" width="3.08984375" style="21" customWidth="1"/>
    <col min="7887" max="7887" width="3" style="21" customWidth="1"/>
    <col min="7888" max="7919" width="26.26953125" style="21"/>
    <col min="7920" max="7920" width="0.36328125" style="21" customWidth="1"/>
    <col min="7921" max="7921" width="2.6328125" style="21" customWidth="1"/>
    <col min="7922" max="7922" width="3" style="21" customWidth="1"/>
    <col min="7923" max="7923" width="9.7265625" style="21" customWidth="1"/>
    <col min="7924" max="7924" width="5.6328125" style="21" customWidth="1"/>
    <col min="7925" max="7925" width="7" style="21" customWidth="1"/>
    <col min="7926" max="7926" width="7.08984375" style="21" customWidth="1"/>
    <col min="7927" max="7927" width="7.453125" style="21" customWidth="1"/>
    <col min="7928" max="7928" width="6.90625" style="21" customWidth="1"/>
    <col min="7929" max="7929" width="9" style="21" customWidth="1"/>
    <col min="7930" max="7930" width="9.6328125" style="21" customWidth="1"/>
    <col min="7931" max="7931" width="6.453125" style="21" customWidth="1"/>
    <col min="7932" max="7932" width="6.90625" style="21" customWidth="1"/>
    <col min="7933" max="7933" width="10.7265625" style="21" customWidth="1"/>
    <col min="7934" max="7935" width="9.6328125" style="21" customWidth="1"/>
    <col min="7936" max="7936" width="8.6328125" style="21" customWidth="1"/>
    <col min="7937" max="7937" width="6.90625" style="21" customWidth="1"/>
    <col min="7938" max="7938" width="5.36328125" style="21" customWidth="1"/>
    <col min="7939" max="7939" width="6.90625" style="21" customWidth="1"/>
    <col min="7940" max="7945" width="26.26953125" style="21" hidden="1" customWidth="1"/>
    <col min="7946" max="8140" width="9" style="21" customWidth="1"/>
    <col min="8141" max="8141" width="0.90625" style="21" customWidth="1"/>
    <col min="8142" max="8142" width="3.08984375" style="21" customWidth="1"/>
    <col min="8143" max="8143" width="3" style="21" customWidth="1"/>
    <col min="8144" max="8175" width="26.26953125" style="21"/>
    <col min="8176" max="8176" width="0.36328125" style="21" customWidth="1"/>
    <col min="8177" max="8177" width="2.6328125" style="21" customWidth="1"/>
    <col min="8178" max="8178" width="3" style="21" customWidth="1"/>
    <col min="8179" max="8179" width="9.7265625" style="21" customWidth="1"/>
    <col min="8180" max="8180" width="5.6328125" style="21" customWidth="1"/>
    <col min="8181" max="8181" width="7" style="21" customWidth="1"/>
    <col min="8182" max="8182" width="7.08984375" style="21" customWidth="1"/>
    <col min="8183" max="8183" width="7.453125" style="21" customWidth="1"/>
    <col min="8184" max="8184" width="6.90625" style="21" customWidth="1"/>
    <col min="8185" max="8185" width="9" style="21" customWidth="1"/>
    <col min="8186" max="8186" width="9.6328125" style="21" customWidth="1"/>
    <col min="8187" max="8187" width="6.453125" style="21" customWidth="1"/>
    <col min="8188" max="8188" width="6.90625" style="21" customWidth="1"/>
    <col min="8189" max="8189" width="10.7265625" style="21" customWidth="1"/>
    <col min="8190" max="8191" width="9.6328125" style="21" customWidth="1"/>
    <col min="8192" max="8192" width="8.6328125" style="21" customWidth="1"/>
    <col min="8193" max="8193" width="6.90625" style="21" customWidth="1"/>
    <col min="8194" max="8194" width="5.36328125" style="21" customWidth="1"/>
    <col min="8195" max="8195" width="6.90625" style="21" customWidth="1"/>
    <col min="8196" max="8201" width="26.26953125" style="21" hidden="1" customWidth="1"/>
    <col min="8202" max="8396" width="9" style="21" customWidth="1"/>
    <col min="8397" max="8397" width="0.90625" style="21" customWidth="1"/>
    <col min="8398" max="8398" width="3.08984375" style="21" customWidth="1"/>
    <col min="8399" max="8399" width="3" style="21" customWidth="1"/>
    <col min="8400" max="8431" width="26.26953125" style="21"/>
    <col min="8432" max="8432" width="0.36328125" style="21" customWidth="1"/>
    <col min="8433" max="8433" width="2.6328125" style="21" customWidth="1"/>
    <col min="8434" max="8434" width="3" style="21" customWidth="1"/>
    <col min="8435" max="8435" width="9.7265625" style="21" customWidth="1"/>
    <col min="8436" max="8436" width="5.6328125" style="21" customWidth="1"/>
    <col min="8437" max="8437" width="7" style="21" customWidth="1"/>
    <col min="8438" max="8438" width="7.08984375" style="21" customWidth="1"/>
    <col min="8439" max="8439" width="7.453125" style="21" customWidth="1"/>
    <col min="8440" max="8440" width="6.90625" style="21" customWidth="1"/>
    <col min="8441" max="8441" width="9" style="21" customWidth="1"/>
    <col min="8442" max="8442" width="9.6328125" style="21" customWidth="1"/>
    <col min="8443" max="8443" width="6.453125" style="21" customWidth="1"/>
    <col min="8444" max="8444" width="6.90625" style="21" customWidth="1"/>
    <col min="8445" max="8445" width="10.7265625" style="21" customWidth="1"/>
    <col min="8446" max="8447" width="9.6328125" style="21" customWidth="1"/>
    <col min="8448" max="8448" width="8.6328125" style="21" customWidth="1"/>
    <col min="8449" max="8449" width="6.90625" style="21" customWidth="1"/>
    <col min="8450" max="8450" width="5.36328125" style="21" customWidth="1"/>
    <col min="8451" max="8451" width="6.90625" style="21" customWidth="1"/>
    <col min="8452" max="8457" width="26.26953125" style="21" hidden="1" customWidth="1"/>
    <col min="8458" max="8652" width="9" style="21" customWidth="1"/>
    <col min="8653" max="8653" width="0.90625" style="21" customWidth="1"/>
    <col min="8654" max="8654" width="3.08984375" style="21" customWidth="1"/>
    <col min="8655" max="8655" width="3" style="21" customWidth="1"/>
    <col min="8656" max="8687" width="26.26953125" style="21"/>
    <col min="8688" max="8688" width="0.36328125" style="21" customWidth="1"/>
    <col min="8689" max="8689" width="2.6328125" style="21" customWidth="1"/>
    <col min="8690" max="8690" width="3" style="21" customWidth="1"/>
    <col min="8691" max="8691" width="9.7265625" style="21" customWidth="1"/>
    <col min="8692" max="8692" width="5.6328125" style="21" customWidth="1"/>
    <col min="8693" max="8693" width="7" style="21" customWidth="1"/>
    <col min="8694" max="8694" width="7.08984375" style="21" customWidth="1"/>
    <col min="8695" max="8695" width="7.453125" style="21" customWidth="1"/>
    <col min="8696" max="8696" width="6.90625" style="21" customWidth="1"/>
    <col min="8697" max="8697" width="9" style="21" customWidth="1"/>
    <col min="8698" max="8698" width="9.6328125" style="21" customWidth="1"/>
    <col min="8699" max="8699" width="6.453125" style="21" customWidth="1"/>
    <col min="8700" max="8700" width="6.90625" style="21" customWidth="1"/>
    <col min="8701" max="8701" width="10.7265625" style="21" customWidth="1"/>
    <col min="8702" max="8703" width="9.6328125" style="21" customWidth="1"/>
    <col min="8704" max="8704" width="8.6328125" style="21" customWidth="1"/>
    <col min="8705" max="8705" width="6.90625" style="21" customWidth="1"/>
    <col min="8706" max="8706" width="5.36328125" style="21" customWidth="1"/>
    <col min="8707" max="8707" width="6.90625" style="21" customWidth="1"/>
    <col min="8708" max="8713" width="26.26953125" style="21" hidden="1" customWidth="1"/>
    <col min="8714" max="8908" width="9" style="21" customWidth="1"/>
    <col min="8909" max="8909" width="0.90625" style="21" customWidth="1"/>
    <col min="8910" max="8910" width="3.08984375" style="21" customWidth="1"/>
    <col min="8911" max="8911" width="3" style="21" customWidth="1"/>
    <col min="8912" max="8943" width="26.26953125" style="21"/>
    <col min="8944" max="8944" width="0.36328125" style="21" customWidth="1"/>
    <col min="8945" max="8945" width="2.6328125" style="21" customWidth="1"/>
    <col min="8946" max="8946" width="3" style="21" customWidth="1"/>
    <col min="8947" max="8947" width="9.7265625" style="21" customWidth="1"/>
    <col min="8948" max="8948" width="5.6328125" style="21" customWidth="1"/>
    <col min="8949" max="8949" width="7" style="21" customWidth="1"/>
    <col min="8950" max="8950" width="7.08984375" style="21" customWidth="1"/>
    <col min="8951" max="8951" width="7.453125" style="21" customWidth="1"/>
    <col min="8952" max="8952" width="6.90625" style="21" customWidth="1"/>
    <col min="8953" max="8953" width="9" style="21" customWidth="1"/>
    <col min="8954" max="8954" width="9.6328125" style="21" customWidth="1"/>
    <col min="8955" max="8955" width="6.453125" style="21" customWidth="1"/>
    <col min="8956" max="8956" width="6.90625" style="21" customWidth="1"/>
    <col min="8957" max="8957" width="10.7265625" style="21" customWidth="1"/>
    <col min="8958" max="8959" width="9.6328125" style="21" customWidth="1"/>
    <col min="8960" max="8960" width="8.6328125" style="21" customWidth="1"/>
    <col min="8961" max="8961" width="6.90625" style="21" customWidth="1"/>
    <col min="8962" max="8962" width="5.36328125" style="21" customWidth="1"/>
    <col min="8963" max="8963" width="6.90625" style="21" customWidth="1"/>
    <col min="8964" max="8969" width="26.26953125" style="21" hidden="1" customWidth="1"/>
    <col min="8970" max="9164" width="9" style="21" customWidth="1"/>
    <col min="9165" max="9165" width="0.90625" style="21" customWidth="1"/>
    <col min="9166" max="9166" width="3.08984375" style="21" customWidth="1"/>
    <col min="9167" max="9167" width="3" style="21" customWidth="1"/>
    <col min="9168" max="9199" width="26.26953125" style="21"/>
    <col min="9200" max="9200" width="0.36328125" style="21" customWidth="1"/>
    <col min="9201" max="9201" width="2.6328125" style="21" customWidth="1"/>
    <col min="9202" max="9202" width="3" style="21" customWidth="1"/>
    <col min="9203" max="9203" width="9.7265625" style="21" customWidth="1"/>
    <col min="9204" max="9204" width="5.6328125" style="21" customWidth="1"/>
    <col min="9205" max="9205" width="7" style="21" customWidth="1"/>
    <col min="9206" max="9206" width="7.08984375" style="21" customWidth="1"/>
    <col min="9207" max="9207" width="7.453125" style="21" customWidth="1"/>
    <col min="9208" max="9208" width="6.90625" style="21" customWidth="1"/>
    <col min="9209" max="9209" width="9" style="21" customWidth="1"/>
    <col min="9210" max="9210" width="9.6328125" style="21" customWidth="1"/>
    <col min="9211" max="9211" width="6.453125" style="21" customWidth="1"/>
    <col min="9212" max="9212" width="6.90625" style="21" customWidth="1"/>
    <col min="9213" max="9213" width="10.7265625" style="21" customWidth="1"/>
    <col min="9214" max="9215" width="9.6328125" style="21" customWidth="1"/>
    <col min="9216" max="9216" width="8.6328125" style="21" customWidth="1"/>
    <col min="9217" max="9217" width="6.90625" style="21" customWidth="1"/>
    <col min="9218" max="9218" width="5.36328125" style="21" customWidth="1"/>
    <col min="9219" max="9219" width="6.90625" style="21" customWidth="1"/>
    <col min="9220" max="9225" width="26.26953125" style="21" hidden="1" customWidth="1"/>
    <col min="9226" max="9420" width="9" style="21" customWidth="1"/>
    <col min="9421" max="9421" width="0.90625" style="21" customWidth="1"/>
    <col min="9422" max="9422" width="3.08984375" style="21" customWidth="1"/>
    <col min="9423" max="9423" width="3" style="21" customWidth="1"/>
    <col min="9424" max="9455" width="26.26953125" style="21"/>
    <col min="9456" max="9456" width="0.36328125" style="21" customWidth="1"/>
    <col min="9457" max="9457" width="2.6328125" style="21" customWidth="1"/>
    <col min="9458" max="9458" width="3" style="21" customWidth="1"/>
    <col min="9459" max="9459" width="9.7265625" style="21" customWidth="1"/>
    <col min="9460" max="9460" width="5.6328125" style="21" customWidth="1"/>
    <col min="9461" max="9461" width="7" style="21" customWidth="1"/>
    <col min="9462" max="9462" width="7.08984375" style="21" customWidth="1"/>
    <col min="9463" max="9463" width="7.453125" style="21" customWidth="1"/>
    <col min="9464" max="9464" width="6.90625" style="21" customWidth="1"/>
    <col min="9465" max="9465" width="9" style="21" customWidth="1"/>
    <col min="9466" max="9466" width="9.6328125" style="21" customWidth="1"/>
    <col min="9467" max="9467" width="6.453125" style="21" customWidth="1"/>
    <col min="9468" max="9468" width="6.90625" style="21" customWidth="1"/>
    <col min="9469" max="9469" width="10.7265625" style="21" customWidth="1"/>
    <col min="9470" max="9471" width="9.6328125" style="21" customWidth="1"/>
    <col min="9472" max="9472" width="8.6328125" style="21" customWidth="1"/>
    <col min="9473" max="9473" width="6.90625" style="21" customWidth="1"/>
    <col min="9474" max="9474" width="5.36328125" style="21" customWidth="1"/>
    <col min="9475" max="9475" width="6.90625" style="21" customWidth="1"/>
    <col min="9476" max="9481" width="26.26953125" style="21" hidden="1" customWidth="1"/>
    <col min="9482" max="9676" width="9" style="21" customWidth="1"/>
    <col min="9677" max="9677" width="0.90625" style="21" customWidth="1"/>
    <col min="9678" max="9678" width="3.08984375" style="21" customWidth="1"/>
    <col min="9679" max="9679" width="3" style="21" customWidth="1"/>
    <col min="9680" max="9711" width="26.26953125" style="21"/>
    <col min="9712" max="9712" width="0.36328125" style="21" customWidth="1"/>
    <col min="9713" max="9713" width="2.6328125" style="21" customWidth="1"/>
    <col min="9714" max="9714" width="3" style="21" customWidth="1"/>
    <col min="9715" max="9715" width="9.7265625" style="21" customWidth="1"/>
    <col min="9716" max="9716" width="5.6328125" style="21" customWidth="1"/>
    <col min="9717" max="9717" width="7" style="21" customWidth="1"/>
    <col min="9718" max="9718" width="7.08984375" style="21" customWidth="1"/>
    <col min="9719" max="9719" width="7.453125" style="21" customWidth="1"/>
    <col min="9720" max="9720" width="6.90625" style="21" customWidth="1"/>
    <col min="9721" max="9721" width="9" style="21" customWidth="1"/>
    <col min="9722" max="9722" width="9.6328125" style="21" customWidth="1"/>
    <col min="9723" max="9723" width="6.453125" style="21" customWidth="1"/>
    <col min="9724" max="9724" width="6.90625" style="21" customWidth="1"/>
    <col min="9725" max="9725" width="10.7265625" style="21" customWidth="1"/>
    <col min="9726" max="9727" width="9.6328125" style="21" customWidth="1"/>
    <col min="9728" max="9728" width="8.6328125" style="21" customWidth="1"/>
    <col min="9729" max="9729" width="6.90625" style="21" customWidth="1"/>
    <col min="9730" max="9730" width="5.36328125" style="21" customWidth="1"/>
    <col min="9731" max="9731" width="6.90625" style="21" customWidth="1"/>
    <col min="9732" max="9737" width="26.26953125" style="21" hidden="1" customWidth="1"/>
    <col min="9738" max="9932" width="9" style="21" customWidth="1"/>
    <col min="9933" max="9933" width="0.90625" style="21" customWidth="1"/>
    <col min="9934" max="9934" width="3.08984375" style="21" customWidth="1"/>
    <col min="9935" max="9935" width="3" style="21" customWidth="1"/>
    <col min="9936" max="9967" width="26.26953125" style="21"/>
    <col min="9968" max="9968" width="0.36328125" style="21" customWidth="1"/>
    <col min="9969" max="9969" width="2.6328125" style="21" customWidth="1"/>
    <col min="9970" max="9970" width="3" style="21" customWidth="1"/>
    <col min="9971" max="9971" width="9.7265625" style="21" customWidth="1"/>
    <col min="9972" max="9972" width="5.6328125" style="21" customWidth="1"/>
    <col min="9973" max="9973" width="7" style="21" customWidth="1"/>
    <col min="9974" max="9974" width="7.08984375" style="21" customWidth="1"/>
    <col min="9975" max="9975" width="7.453125" style="21" customWidth="1"/>
    <col min="9976" max="9976" width="6.90625" style="21" customWidth="1"/>
    <col min="9977" max="9977" width="9" style="21" customWidth="1"/>
    <col min="9978" max="9978" width="9.6328125" style="21" customWidth="1"/>
    <col min="9979" max="9979" width="6.453125" style="21" customWidth="1"/>
    <col min="9980" max="9980" width="6.90625" style="21" customWidth="1"/>
    <col min="9981" max="9981" width="10.7265625" style="21" customWidth="1"/>
    <col min="9982" max="9983" width="9.6328125" style="21" customWidth="1"/>
    <col min="9984" max="9984" width="8.6328125" style="21" customWidth="1"/>
    <col min="9985" max="9985" width="6.90625" style="21" customWidth="1"/>
    <col min="9986" max="9986" width="5.36328125" style="21" customWidth="1"/>
    <col min="9987" max="9987" width="6.90625" style="21" customWidth="1"/>
    <col min="9988" max="9993" width="26.26953125" style="21" hidden="1" customWidth="1"/>
    <col min="9994" max="10188" width="9" style="21" customWidth="1"/>
    <col min="10189" max="10189" width="0.90625" style="21" customWidth="1"/>
    <col min="10190" max="10190" width="3.08984375" style="21" customWidth="1"/>
    <col min="10191" max="10191" width="3" style="21" customWidth="1"/>
    <col min="10192" max="10223" width="26.26953125" style="21"/>
    <col min="10224" max="10224" width="0.36328125" style="21" customWidth="1"/>
    <col min="10225" max="10225" width="2.6328125" style="21" customWidth="1"/>
    <col min="10226" max="10226" width="3" style="21" customWidth="1"/>
    <col min="10227" max="10227" width="9.7265625" style="21" customWidth="1"/>
    <col min="10228" max="10228" width="5.6328125" style="21" customWidth="1"/>
    <col min="10229" max="10229" width="7" style="21" customWidth="1"/>
    <col min="10230" max="10230" width="7.08984375" style="21" customWidth="1"/>
    <col min="10231" max="10231" width="7.453125" style="21" customWidth="1"/>
    <col min="10232" max="10232" width="6.90625" style="21" customWidth="1"/>
    <col min="10233" max="10233" width="9" style="21" customWidth="1"/>
    <col min="10234" max="10234" width="9.6328125" style="21" customWidth="1"/>
    <col min="10235" max="10235" width="6.453125" style="21" customWidth="1"/>
    <col min="10236" max="10236" width="6.90625" style="21" customWidth="1"/>
    <col min="10237" max="10237" width="10.7265625" style="21" customWidth="1"/>
    <col min="10238" max="10239" width="9.6328125" style="21" customWidth="1"/>
    <col min="10240" max="10240" width="8.6328125" style="21" customWidth="1"/>
    <col min="10241" max="10241" width="6.90625" style="21" customWidth="1"/>
    <col min="10242" max="10242" width="5.36328125" style="21" customWidth="1"/>
    <col min="10243" max="10243" width="6.90625" style="21" customWidth="1"/>
    <col min="10244" max="10249" width="26.26953125" style="21" hidden="1" customWidth="1"/>
    <col min="10250" max="10444" width="9" style="21" customWidth="1"/>
    <col min="10445" max="10445" width="0.90625" style="21" customWidth="1"/>
    <col min="10446" max="10446" width="3.08984375" style="21" customWidth="1"/>
    <col min="10447" max="10447" width="3" style="21" customWidth="1"/>
    <col min="10448" max="10479" width="26.26953125" style="21"/>
    <col min="10480" max="10480" width="0.36328125" style="21" customWidth="1"/>
    <col min="10481" max="10481" width="2.6328125" style="21" customWidth="1"/>
    <col min="10482" max="10482" width="3" style="21" customWidth="1"/>
    <col min="10483" max="10483" width="9.7265625" style="21" customWidth="1"/>
    <col min="10484" max="10484" width="5.6328125" style="21" customWidth="1"/>
    <col min="10485" max="10485" width="7" style="21" customWidth="1"/>
    <col min="10486" max="10486" width="7.08984375" style="21" customWidth="1"/>
    <col min="10487" max="10487" width="7.453125" style="21" customWidth="1"/>
    <col min="10488" max="10488" width="6.90625" style="21" customWidth="1"/>
    <col min="10489" max="10489" width="9" style="21" customWidth="1"/>
    <col min="10490" max="10490" width="9.6328125" style="21" customWidth="1"/>
    <col min="10491" max="10491" width="6.453125" style="21" customWidth="1"/>
    <col min="10492" max="10492" width="6.90625" style="21" customWidth="1"/>
    <col min="10493" max="10493" width="10.7265625" style="21" customWidth="1"/>
    <col min="10494" max="10495" width="9.6328125" style="21" customWidth="1"/>
    <col min="10496" max="10496" width="8.6328125" style="21" customWidth="1"/>
    <col min="10497" max="10497" width="6.90625" style="21" customWidth="1"/>
    <col min="10498" max="10498" width="5.36328125" style="21" customWidth="1"/>
    <col min="10499" max="10499" width="6.90625" style="21" customWidth="1"/>
    <col min="10500" max="10505" width="26.26953125" style="21" hidden="1" customWidth="1"/>
    <col min="10506" max="10700" width="9" style="21" customWidth="1"/>
    <col min="10701" max="10701" width="0.90625" style="21" customWidth="1"/>
    <col min="10702" max="10702" width="3.08984375" style="21" customWidth="1"/>
    <col min="10703" max="10703" width="3" style="21" customWidth="1"/>
    <col min="10704" max="10735" width="26.26953125" style="21"/>
    <col min="10736" max="10736" width="0.36328125" style="21" customWidth="1"/>
    <col min="10737" max="10737" width="2.6328125" style="21" customWidth="1"/>
    <col min="10738" max="10738" width="3" style="21" customWidth="1"/>
    <col min="10739" max="10739" width="9.7265625" style="21" customWidth="1"/>
    <col min="10740" max="10740" width="5.6328125" style="21" customWidth="1"/>
    <col min="10741" max="10741" width="7" style="21" customWidth="1"/>
    <col min="10742" max="10742" width="7.08984375" style="21" customWidth="1"/>
    <col min="10743" max="10743" width="7.453125" style="21" customWidth="1"/>
    <col min="10744" max="10744" width="6.90625" style="21" customWidth="1"/>
    <col min="10745" max="10745" width="9" style="21" customWidth="1"/>
    <col min="10746" max="10746" width="9.6328125" style="21" customWidth="1"/>
    <col min="10747" max="10747" width="6.453125" style="21" customWidth="1"/>
    <col min="10748" max="10748" width="6.90625" style="21" customWidth="1"/>
    <col min="10749" max="10749" width="10.7265625" style="21" customWidth="1"/>
    <col min="10750" max="10751" width="9.6328125" style="21" customWidth="1"/>
    <col min="10752" max="10752" width="8.6328125" style="21" customWidth="1"/>
    <col min="10753" max="10753" width="6.90625" style="21" customWidth="1"/>
    <col min="10754" max="10754" width="5.36328125" style="21" customWidth="1"/>
    <col min="10755" max="10755" width="6.90625" style="21" customWidth="1"/>
    <col min="10756" max="10761" width="26.26953125" style="21" hidden="1" customWidth="1"/>
    <col min="10762" max="10956" width="9" style="21" customWidth="1"/>
    <col min="10957" max="10957" width="0.90625" style="21" customWidth="1"/>
    <col min="10958" max="10958" width="3.08984375" style="21" customWidth="1"/>
    <col min="10959" max="10959" width="3" style="21" customWidth="1"/>
    <col min="10960" max="10991" width="26.26953125" style="21"/>
    <col min="10992" max="10992" width="0.36328125" style="21" customWidth="1"/>
    <col min="10993" max="10993" width="2.6328125" style="21" customWidth="1"/>
    <col min="10994" max="10994" width="3" style="21" customWidth="1"/>
    <col min="10995" max="10995" width="9.7265625" style="21" customWidth="1"/>
    <col min="10996" max="10996" width="5.6328125" style="21" customWidth="1"/>
    <col min="10997" max="10997" width="7" style="21" customWidth="1"/>
    <col min="10998" max="10998" width="7.08984375" style="21" customWidth="1"/>
    <col min="10999" max="10999" width="7.453125" style="21" customWidth="1"/>
    <col min="11000" max="11000" width="6.90625" style="21" customWidth="1"/>
    <col min="11001" max="11001" width="9" style="21" customWidth="1"/>
    <col min="11002" max="11002" width="9.6328125" style="21" customWidth="1"/>
    <col min="11003" max="11003" width="6.453125" style="21" customWidth="1"/>
    <col min="11004" max="11004" width="6.90625" style="21" customWidth="1"/>
    <col min="11005" max="11005" width="10.7265625" style="21" customWidth="1"/>
    <col min="11006" max="11007" width="9.6328125" style="21" customWidth="1"/>
    <col min="11008" max="11008" width="8.6328125" style="21" customWidth="1"/>
    <col min="11009" max="11009" width="6.90625" style="21" customWidth="1"/>
    <col min="11010" max="11010" width="5.36328125" style="21" customWidth="1"/>
    <col min="11011" max="11011" width="6.90625" style="21" customWidth="1"/>
    <col min="11012" max="11017" width="26.26953125" style="21" hidden="1" customWidth="1"/>
    <col min="11018" max="11212" width="9" style="21" customWidth="1"/>
    <col min="11213" max="11213" width="0.90625" style="21" customWidth="1"/>
    <col min="11214" max="11214" width="3.08984375" style="21" customWidth="1"/>
    <col min="11215" max="11215" width="3" style="21" customWidth="1"/>
    <col min="11216" max="11247" width="26.26953125" style="21"/>
    <col min="11248" max="11248" width="0.36328125" style="21" customWidth="1"/>
    <col min="11249" max="11249" width="2.6328125" style="21" customWidth="1"/>
    <col min="11250" max="11250" width="3" style="21" customWidth="1"/>
    <col min="11251" max="11251" width="9.7265625" style="21" customWidth="1"/>
    <col min="11252" max="11252" width="5.6328125" style="21" customWidth="1"/>
    <col min="11253" max="11253" width="7" style="21" customWidth="1"/>
    <col min="11254" max="11254" width="7.08984375" style="21" customWidth="1"/>
    <col min="11255" max="11255" width="7.453125" style="21" customWidth="1"/>
    <col min="11256" max="11256" width="6.90625" style="21" customWidth="1"/>
    <col min="11257" max="11257" width="9" style="21" customWidth="1"/>
    <col min="11258" max="11258" width="9.6328125" style="21" customWidth="1"/>
    <col min="11259" max="11259" width="6.453125" style="21" customWidth="1"/>
    <col min="11260" max="11260" width="6.90625" style="21" customWidth="1"/>
    <col min="11261" max="11261" width="10.7265625" style="21" customWidth="1"/>
    <col min="11262" max="11263" width="9.6328125" style="21" customWidth="1"/>
    <col min="11264" max="11264" width="8.6328125" style="21" customWidth="1"/>
    <col min="11265" max="11265" width="6.90625" style="21" customWidth="1"/>
    <col min="11266" max="11266" width="5.36328125" style="21" customWidth="1"/>
    <col min="11267" max="11267" width="6.90625" style="21" customWidth="1"/>
    <col min="11268" max="11273" width="26.26953125" style="21" hidden="1" customWidth="1"/>
    <col min="11274" max="11468" width="9" style="21" customWidth="1"/>
    <col min="11469" max="11469" width="0.90625" style="21" customWidth="1"/>
    <col min="11470" max="11470" width="3.08984375" style="21" customWidth="1"/>
    <col min="11471" max="11471" width="3" style="21" customWidth="1"/>
    <col min="11472" max="11503" width="26.26953125" style="21"/>
    <col min="11504" max="11504" width="0.36328125" style="21" customWidth="1"/>
    <col min="11505" max="11505" width="2.6328125" style="21" customWidth="1"/>
    <col min="11506" max="11506" width="3" style="21" customWidth="1"/>
    <col min="11507" max="11507" width="9.7265625" style="21" customWidth="1"/>
    <col min="11508" max="11508" width="5.6328125" style="21" customWidth="1"/>
    <col min="11509" max="11509" width="7" style="21" customWidth="1"/>
    <col min="11510" max="11510" width="7.08984375" style="21" customWidth="1"/>
    <col min="11511" max="11511" width="7.453125" style="21" customWidth="1"/>
    <col min="11512" max="11512" width="6.90625" style="21" customWidth="1"/>
    <col min="11513" max="11513" width="9" style="21" customWidth="1"/>
    <col min="11514" max="11514" width="9.6328125" style="21" customWidth="1"/>
    <col min="11515" max="11515" width="6.453125" style="21" customWidth="1"/>
    <col min="11516" max="11516" width="6.90625" style="21" customWidth="1"/>
    <col min="11517" max="11517" width="10.7265625" style="21" customWidth="1"/>
    <col min="11518" max="11519" width="9.6328125" style="21" customWidth="1"/>
    <col min="11520" max="11520" width="8.6328125" style="21" customWidth="1"/>
    <col min="11521" max="11521" width="6.90625" style="21" customWidth="1"/>
    <col min="11522" max="11522" width="5.36328125" style="21" customWidth="1"/>
    <col min="11523" max="11523" width="6.90625" style="21" customWidth="1"/>
    <col min="11524" max="11529" width="26.26953125" style="21" hidden="1" customWidth="1"/>
    <col min="11530" max="11724" width="9" style="21" customWidth="1"/>
    <col min="11725" max="11725" width="0.90625" style="21" customWidth="1"/>
    <col min="11726" max="11726" width="3.08984375" style="21" customWidth="1"/>
    <col min="11727" max="11727" width="3" style="21" customWidth="1"/>
    <col min="11728" max="11759" width="26.26953125" style="21"/>
    <col min="11760" max="11760" width="0.36328125" style="21" customWidth="1"/>
    <col min="11761" max="11761" width="2.6328125" style="21" customWidth="1"/>
    <col min="11762" max="11762" width="3" style="21" customWidth="1"/>
    <col min="11763" max="11763" width="9.7265625" style="21" customWidth="1"/>
    <col min="11764" max="11764" width="5.6328125" style="21" customWidth="1"/>
    <col min="11765" max="11765" width="7" style="21" customWidth="1"/>
    <col min="11766" max="11766" width="7.08984375" style="21" customWidth="1"/>
    <col min="11767" max="11767" width="7.453125" style="21" customWidth="1"/>
    <col min="11768" max="11768" width="6.90625" style="21" customWidth="1"/>
    <col min="11769" max="11769" width="9" style="21" customWidth="1"/>
    <col min="11770" max="11770" width="9.6328125" style="21" customWidth="1"/>
    <col min="11771" max="11771" width="6.453125" style="21" customWidth="1"/>
    <col min="11772" max="11772" width="6.90625" style="21" customWidth="1"/>
    <col min="11773" max="11773" width="10.7265625" style="21" customWidth="1"/>
    <col min="11774" max="11775" width="9.6328125" style="21" customWidth="1"/>
    <col min="11776" max="11776" width="8.6328125" style="21" customWidth="1"/>
    <col min="11777" max="11777" width="6.90625" style="21" customWidth="1"/>
    <col min="11778" max="11778" width="5.36328125" style="21" customWidth="1"/>
    <col min="11779" max="11779" width="6.90625" style="21" customWidth="1"/>
    <col min="11780" max="11785" width="26.26953125" style="21" hidden="1" customWidth="1"/>
    <col min="11786" max="11980" width="9" style="21" customWidth="1"/>
    <col min="11981" max="11981" width="0.90625" style="21" customWidth="1"/>
    <col min="11982" max="11982" width="3.08984375" style="21" customWidth="1"/>
    <col min="11983" max="11983" width="3" style="21" customWidth="1"/>
    <col min="11984" max="12015" width="26.26953125" style="21"/>
    <col min="12016" max="12016" width="0.36328125" style="21" customWidth="1"/>
    <col min="12017" max="12017" width="2.6328125" style="21" customWidth="1"/>
    <col min="12018" max="12018" width="3" style="21" customWidth="1"/>
    <col min="12019" max="12019" width="9.7265625" style="21" customWidth="1"/>
    <col min="12020" max="12020" width="5.6328125" style="21" customWidth="1"/>
    <col min="12021" max="12021" width="7" style="21" customWidth="1"/>
    <col min="12022" max="12022" width="7.08984375" style="21" customWidth="1"/>
    <col min="12023" max="12023" width="7.453125" style="21" customWidth="1"/>
    <col min="12024" max="12024" width="6.90625" style="21" customWidth="1"/>
    <col min="12025" max="12025" width="9" style="21" customWidth="1"/>
    <col min="12026" max="12026" width="9.6328125" style="21" customWidth="1"/>
    <col min="12027" max="12027" width="6.453125" style="21" customWidth="1"/>
    <col min="12028" max="12028" width="6.90625" style="21" customWidth="1"/>
    <col min="12029" max="12029" width="10.7265625" style="21" customWidth="1"/>
    <col min="12030" max="12031" width="9.6328125" style="21" customWidth="1"/>
    <col min="12032" max="12032" width="8.6328125" style="21" customWidth="1"/>
    <col min="12033" max="12033" width="6.90625" style="21" customWidth="1"/>
    <col min="12034" max="12034" width="5.36328125" style="21" customWidth="1"/>
    <col min="12035" max="12035" width="6.90625" style="21" customWidth="1"/>
    <col min="12036" max="12041" width="26.26953125" style="21" hidden="1" customWidth="1"/>
    <col min="12042" max="12236" width="9" style="21" customWidth="1"/>
    <col min="12237" max="12237" width="0.90625" style="21" customWidth="1"/>
    <col min="12238" max="12238" width="3.08984375" style="21" customWidth="1"/>
    <col min="12239" max="12239" width="3" style="21" customWidth="1"/>
    <col min="12240" max="12271" width="26.26953125" style="21"/>
    <col min="12272" max="12272" width="0.36328125" style="21" customWidth="1"/>
    <col min="12273" max="12273" width="2.6328125" style="21" customWidth="1"/>
    <col min="12274" max="12274" width="3" style="21" customWidth="1"/>
    <col min="12275" max="12275" width="9.7265625" style="21" customWidth="1"/>
    <col min="12276" max="12276" width="5.6328125" style="21" customWidth="1"/>
    <col min="12277" max="12277" width="7" style="21" customWidth="1"/>
    <col min="12278" max="12278" width="7.08984375" style="21" customWidth="1"/>
    <col min="12279" max="12279" width="7.453125" style="21" customWidth="1"/>
    <col min="12280" max="12280" width="6.90625" style="21" customWidth="1"/>
    <col min="12281" max="12281" width="9" style="21" customWidth="1"/>
    <col min="12282" max="12282" width="9.6328125" style="21" customWidth="1"/>
    <col min="12283" max="12283" width="6.453125" style="21" customWidth="1"/>
    <col min="12284" max="12284" width="6.90625" style="21" customWidth="1"/>
    <col min="12285" max="12285" width="10.7265625" style="21" customWidth="1"/>
    <col min="12286" max="12287" width="9.6328125" style="21" customWidth="1"/>
    <col min="12288" max="12288" width="8.6328125" style="21" customWidth="1"/>
    <col min="12289" max="12289" width="6.90625" style="21" customWidth="1"/>
    <col min="12290" max="12290" width="5.36328125" style="21" customWidth="1"/>
    <col min="12291" max="12291" width="6.90625" style="21" customWidth="1"/>
    <col min="12292" max="12297" width="26.26953125" style="21" hidden="1" customWidth="1"/>
    <col min="12298" max="12492" width="9" style="21" customWidth="1"/>
    <col min="12493" max="12493" width="0.90625" style="21" customWidth="1"/>
    <col min="12494" max="12494" width="3.08984375" style="21" customWidth="1"/>
    <col min="12495" max="12495" width="3" style="21" customWidth="1"/>
    <col min="12496" max="12527" width="26.26953125" style="21"/>
    <col min="12528" max="12528" width="0.36328125" style="21" customWidth="1"/>
    <col min="12529" max="12529" width="2.6328125" style="21" customWidth="1"/>
    <col min="12530" max="12530" width="3" style="21" customWidth="1"/>
    <col min="12531" max="12531" width="9.7265625" style="21" customWidth="1"/>
    <col min="12532" max="12532" width="5.6328125" style="21" customWidth="1"/>
    <col min="12533" max="12533" width="7" style="21" customWidth="1"/>
    <col min="12534" max="12534" width="7.08984375" style="21" customWidth="1"/>
    <col min="12535" max="12535" width="7.453125" style="21" customWidth="1"/>
    <col min="12536" max="12536" width="6.90625" style="21" customWidth="1"/>
    <col min="12537" max="12537" width="9" style="21" customWidth="1"/>
    <col min="12538" max="12538" width="9.6328125" style="21" customWidth="1"/>
    <col min="12539" max="12539" width="6.453125" style="21" customWidth="1"/>
    <col min="12540" max="12540" width="6.90625" style="21" customWidth="1"/>
    <col min="12541" max="12541" width="10.7265625" style="21" customWidth="1"/>
    <col min="12542" max="12543" width="9.6328125" style="21" customWidth="1"/>
    <col min="12544" max="12544" width="8.6328125" style="21" customWidth="1"/>
    <col min="12545" max="12545" width="6.90625" style="21" customWidth="1"/>
    <col min="12546" max="12546" width="5.36328125" style="21" customWidth="1"/>
    <col min="12547" max="12547" width="6.90625" style="21" customWidth="1"/>
    <col min="12548" max="12553" width="26.26953125" style="21" hidden="1" customWidth="1"/>
    <col min="12554" max="12748" width="9" style="21" customWidth="1"/>
    <col min="12749" max="12749" width="0.90625" style="21" customWidth="1"/>
    <col min="12750" max="12750" width="3.08984375" style="21" customWidth="1"/>
    <col min="12751" max="12751" width="3" style="21" customWidth="1"/>
    <col min="12752" max="12783" width="26.26953125" style="21"/>
    <col min="12784" max="12784" width="0.36328125" style="21" customWidth="1"/>
    <col min="12785" max="12785" width="2.6328125" style="21" customWidth="1"/>
    <col min="12786" max="12786" width="3" style="21" customWidth="1"/>
    <col min="12787" max="12787" width="9.7265625" style="21" customWidth="1"/>
    <col min="12788" max="12788" width="5.6328125" style="21" customWidth="1"/>
    <col min="12789" max="12789" width="7" style="21" customWidth="1"/>
    <col min="12790" max="12790" width="7.08984375" style="21" customWidth="1"/>
    <col min="12791" max="12791" width="7.453125" style="21" customWidth="1"/>
    <col min="12792" max="12792" width="6.90625" style="21" customWidth="1"/>
    <col min="12793" max="12793" width="9" style="21" customWidth="1"/>
    <col min="12794" max="12794" width="9.6328125" style="21" customWidth="1"/>
    <col min="12795" max="12795" width="6.453125" style="21" customWidth="1"/>
    <col min="12796" max="12796" width="6.90625" style="21" customWidth="1"/>
    <col min="12797" max="12797" width="10.7265625" style="21" customWidth="1"/>
    <col min="12798" max="12799" width="9.6328125" style="21" customWidth="1"/>
    <col min="12800" max="12800" width="8.6328125" style="21" customWidth="1"/>
    <col min="12801" max="12801" width="6.90625" style="21" customWidth="1"/>
    <col min="12802" max="12802" width="5.36328125" style="21" customWidth="1"/>
    <col min="12803" max="12803" width="6.90625" style="21" customWidth="1"/>
    <col min="12804" max="12809" width="26.26953125" style="21" hidden="1" customWidth="1"/>
    <col min="12810" max="13004" width="9" style="21" customWidth="1"/>
    <col min="13005" max="13005" width="0.90625" style="21" customWidth="1"/>
    <col min="13006" max="13006" width="3.08984375" style="21" customWidth="1"/>
    <col min="13007" max="13007" width="3" style="21" customWidth="1"/>
    <col min="13008" max="13039" width="26.26953125" style="21"/>
    <col min="13040" max="13040" width="0.36328125" style="21" customWidth="1"/>
    <col min="13041" max="13041" width="2.6328125" style="21" customWidth="1"/>
    <col min="13042" max="13042" width="3" style="21" customWidth="1"/>
    <col min="13043" max="13043" width="9.7265625" style="21" customWidth="1"/>
    <col min="13044" max="13044" width="5.6328125" style="21" customWidth="1"/>
    <col min="13045" max="13045" width="7" style="21" customWidth="1"/>
    <col min="13046" max="13046" width="7.08984375" style="21" customWidth="1"/>
    <col min="13047" max="13047" width="7.453125" style="21" customWidth="1"/>
    <col min="13048" max="13048" width="6.90625" style="21" customWidth="1"/>
    <col min="13049" max="13049" width="9" style="21" customWidth="1"/>
    <col min="13050" max="13050" width="9.6328125" style="21" customWidth="1"/>
    <col min="13051" max="13051" width="6.453125" style="21" customWidth="1"/>
    <col min="13052" max="13052" width="6.90625" style="21" customWidth="1"/>
    <col min="13053" max="13053" width="10.7265625" style="21" customWidth="1"/>
    <col min="13054" max="13055" width="9.6328125" style="21" customWidth="1"/>
    <col min="13056" max="13056" width="8.6328125" style="21" customWidth="1"/>
    <col min="13057" max="13057" width="6.90625" style="21" customWidth="1"/>
    <col min="13058" max="13058" width="5.36328125" style="21" customWidth="1"/>
    <col min="13059" max="13059" width="6.90625" style="21" customWidth="1"/>
    <col min="13060" max="13065" width="26.26953125" style="21" hidden="1" customWidth="1"/>
    <col min="13066" max="13260" width="9" style="21" customWidth="1"/>
    <col min="13261" max="13261" width="0.90625" style="21" customWidth="1"/>
    <col min="13262" max="13262" width="3.08984375" style="21" customWidth="1"/>
    <col min="13263" max="13263" width="3" style="21" customWidth="1"/>
    <col min="13264" max="13295" width="26.26953125" style="21"/>
    <col min="13296" max="13296" width="0.36328125" style="21" customWidth="1"/>
    <col min="13297" max="13297" width="2.6328125" style="21" customWidth="1"/>
    <col min="13298" max="13298" width="3" style="21" customWidth="1"/>
    <col min="13299" max="13299" width="9.7265625" style="21" customWidth="1"/>
    <col min="13300" max="13300" width="5.6328125" style="21" customWidth="1"/>
    <col min="13301" max="13301" width="7" style="21" customWidth="1"/>
    <col min="13302" max="13302" width="7.08984375" style="21" customWidth="1"/>
    <col min="13303" max="13303" width="7.453125" style="21" customWidth="1"/>
    <col min="13304" max="13304" width="6.90625" style="21" customWidth="1"/>
    <col min="13305" max="13305" width="9" style="21" customWidth="1"/>
    <col min="13306" max="13306" width="9.6328125" style="21" customWidth="1"/>
    <col min="13307" max="13307" width="6.453125" style="21" customWidth="1"/>
    <col min="13308" max="13308" width="6.90625" style="21" customWidth="1"/>
    <col min="13309" max="13309" width="10.7265625" style="21" customWidth="1"/>
    <col min="13310" max="13311" width="9.6328125" style="21" customWidth="1"/>
    <col min="13312" max="13312" width="8.6328125" style="21" customWidth="1"/>
    <col min="13313" max="13313" width="6.90625" style="21" customWidth="1"/>
    <col min="13314" max="13314" width="5.36328125" style="21" customWidth="1"/>
    <col min="13315" max="13315" width="6.90625" style="21" customWidth="1"/>
    <col min="13316" max="13321" width="26.26953125" style="21" hidden="1" customWidth="1"/>
    <col min="13322" max="13516" width="9" style="21" customWidth="1"/>
    <col min="13517" max="13517" width="0.90625" style="21" customWidth="1"/>
    <col min="13518" max="13518" width="3.08984375" style="21" customWidth="1"/>
    <col min="13519" max="13519" width="3" style="21" customWidth="1"/>
    <col min="13520" max="13551" width="26.26953125" style="21"/>
    <col min="13552" max="13552" width="0.36328125" style="21" customWidth="1"/>
    <col min="13553" max="13553" width="2.6328125" style="21" customWidth="1"/>
    <col min="13554" max="13554" width="3" style="21" customWidth="1"/>
    <col min="13555" max="13555" width="9.7265625" style="21" customWidth="1"/>
    <col min="13556" max="13556" width="5.6328125" style="21" customWidth="1"/>
    <col min="13557" max="13557" width="7" style="21" customWidth="1"/>
    <col min="13558" max="13558" width="7.08984375" style="21" customWidth="1"/>
    <col min="13559" max="13559" width="7.453125" style="21" customWidth="1"/>
    <col min="13560" max="13560" width="6.90625" style="21" customWidth="1"/>
    <col min="13561" max="13561" width="9" style="21" customWidth="1"/>
    <col min="13562" max="13562" width="9.6328125" style="21" customWidth="1"/>
    <col min="13563" max="13563" width="6.453125" style="21" customWidth="1"/>
    <col min="13564" max="13564" width="6.90625" style="21" customWidth="1"/>
    <col min="13565" max="13565" width="10.7265625" style="21" customWidth="1"/>
    <col min="13566" max="13567" width="9.6328125" style="21" customWidth="1"/>
    <col min="13568" max="13568" width="8.6328125" style="21" customWidth="1"/>
    <col min="13569" max="13569" width="6.90625" style="21" customWidth="1"/>
    <col min="13570" max="13570" width="5.36328125" style="21" customWidth="1"/>
    <col min="13571" max="13571" width="6.90625" style="21" customWidth="1"/>
    <col min="13572" max="13577" width="26.26953125" style="21" hidden="1" customWidth="1"/>
    <col min="13578" max="13772" width="9" style="21" customWidth="1"/>
    <col min="13773" max="13773" width="0.90625" style="21" customWidth="1"/>
    <col min="13774" max="13774" width="3.08984375" style="21" customWidth="1"/>
    <col min="13775" max="13775" width="3" style="21" customWidth="1"/>
    <col min="13776" max="13807" width="26.26953125" style="21"/>
    <col min="13808" max="13808" width="0.36328125" style="21" customWidth="1"/>
    <col min="13809" max="13809" width="2.6328125" style="21" customWidth="1"/>
    <col min="13810" max="13810" width="3" style="21" customWidth="1"/>
    <col min="13811" max="13811" width="9.7265625" style="21" customWidth="1"/>
    <col min="13812" max="13812" width="5.6328125" style="21" customWidth="1"/>
    <col min="13813" max="13813" width="7" style="21" customWidth="1"/>
    <col min="13814" max="13814" width="7.08984375" style="21" customWidth="1"/>
    <col min="13815" max="13815" width="7.453125" style="21" customWidth="1"/>
    <col min="13816" max="13816" width="6.90625" style="21" customWidth="1"/>
    <col min="13817" max="13817" width="9" style="21" customWidth="1"/>
    <col min="13818" max="13818" width="9.6328125" style="21" customWidth="1"/>
    <col min="13819" max="13819" width="6.453125" style="21" customWidth="1"/>
    <col min="13820" max="13820" width="6.90625" style="21" customWidth="1"/>
    <col min="13821" max="13821" width="10.7265625" style="21" customWidth="1"/>
    <col min="13822" max="13823" width="9.6328125" style="21" customWidth="1"/>
    <col min="13824" max="13824" width="8.6328125" style="21" customWidth="1"/>
    <col min="13825" max="13825" width="6.90625" style="21" customWidth="1"/>
    <col min="13826" max="13826" width="5.36328125" style="21" customWidth="1"/>
    <col min="13827" max="13827" width="6.90625" style="21" customWidth="1"/>
    <col min="13828" max="13833" width="26.26953125" style="21" hidden="1" customWidth="1"/>
    <col min="13834" max="14028" width="9" style="21" customWidth="1"/>
    <col min="14029" max="14029" width="0.90625" style="21" customWidth="1"/>
    <col min="14030" max="14030" width="3.08984375" style="21" customWidth="1"/>
    <col min="14031" max="14031" width="3" style="21" customWidth="1"/>
    <col min="14032" max="14063" width="26.26953125" style="21"/>
    <col min="14064" max="14064" width="0.36328125" style="21" customWidth="1"/>
    <col min="14065" max="14065" width="2.6328125" style="21" customWidth="1"/>
    <col min="14066" max="14066" width="3" style="21" customWidth="1"/>
    <col min="14067" max="14067" width="9.7265625" style="21" customWidth="1"/>
    <col min="14068" max="14068" width="5.6328125" style="21" customWidth="1"/>
    <col min="14069" max="14069" width="7" style="21" customWidth="1"/>
    <col min="14070" max="14070" width="7.08984375" style="21" customWidth="1"/>
    <col min="14071" max="14071" width="7.453125" style="21" customWidth="1"/>
    <col min="14072" max="14072" width="6.90625" style="21" customWidth="1"/>
    <col min="14073" max="14073" width="9" style="21" customWidth="1"/>
    <col min="14074" max="14074" width="9.6328125" style="21" customWidth="1"/>
    <col min="14075" max="14075" width="6.453125" style="21" customWidth="1"/>
    <col min="14076" max="14076" width="6.90625" style="21" customWidth="1"/>
    <col min="14077" max="14077" width="10.7265625" style="21" customWidth="1"/>
    <col min="14078" max="14079" width="9.6328125" style="21" customWidth="1"/>
    <col min="14080" max="14080" width="8.6328125" style="21" customWidth="1"/>
    <col min="14081" max="14081" width="6.90625" style="21" customWidth="1"/>
    <col min="14082" max="14082" width="5.36328125" style="21" customWidth="1"/>
    <col min="14083" max="14083" width="6.90625" style="21" customWidth="1"/>
    <col min="14084" max="14089" width="26.26953125" style="21" hidden="1" customWidth="1"/>
    <col min="14090" max="14284" width="9" style="21" customWidth="1"/>
    <col min="14285" max="14285" width="0.90625" style="21" customWidth="1"/>
    <col min="14286" max="14286" width="3.08984375" style="21" customWidth="1"/>
    <col min="14287" max="14287" width="3" style="21" customWidth="1"/>
    <col min="14288" max="14319" width="26.26953125" style="21"/>
    <col min="14320" max="14320" width="0.36328125" style="21" customWidth="1"/>
    <col min="14321" max="14321" width="2.6328125" style="21" customWidth="1"/>
    <col min="14322" max="14322" width="3" style="21" customWidth="1"/>
    <col min="14323" max="14323" width="9.7265625" style="21" customWidth="1"/>
    <col min="14324" max="14324" width="5.6328125" style="21" customWidth="1"/>
    <col min="14325" max="14325" width="7" style="21" customWidth="1"/>
    <col min="14326" max="14326" width="7.08984375" style="21" customWidth="1"/>
    <col min="14327" max="14327" width="7.453125" style="21" customWidth="1"/>
    <col min="14328" max="14328" width="6.90625" style="21" customWidth="1"/>
    <col min="14329" max="14329" width="9" style="21" customWidth="1"/>
    <col min="14330" max="14330" width="9.6328125" style="21" customWidth="1"/>
    <col min="14331" max="14331" width="6.453125" style="21" customWidth="1"/>
    <col min="14332" max="14332" width="6.90625" style="21" customWidth="1"/>
    <col min="14333" max="14333" width="10.7265625" style="21" customWidth="1"/>
    <col min="14334" max="14335" width="9.6328125" style="21" customWidth="1"/>
    <col min="14336" max="14336" width="8.6328125" style="21" customWidth="1"/>
    <col min="14337" max="14337" width="6.90625" style="21" customWidth="1"/>
    <col min="14338" max="14338" width="5.36328125" style="21" customWidth="1"/>
    <col min="14339" max="14339" width="6.90625" style="21" customWidth="1"/>
    <col min="14340" max="14345" width="26.26953125" style="21" hidden="1" customWidth="1"/>
    <col min="14346" max="14540" width="9" style="21" customWidth="1"/>
    <col min="14541" max="14541" width="0.90625" style="21" customWidth="1"/>
    <col min="14542" max="14542" width="3.08984375" style="21" customWidth="1"/>
    <col min="14543" max="14543" width="3" style="21" customWidth="1"/>
    <col min="14544" max="14575" width="26.26953125" style="21"/>
    <col min="14576" max="14576" width="0.36328125" style="21" customWidth="1"/>
    <col min="14577" max="14577" width="2.6328125" style="21" customWidth="1"/>
    <col min="14578" max="14578" width="3" style="21" customWidth="1"/>
    <col min="14579" max="14579" width="9.7265625" style="21" customWidth="1"/>
    <col min="14580" max="14580" width="5.6328125" style="21" customWidth="1"/>
    <col min="14581" max="14581" width="7" style="21" customWidth="1"/>
    <col min="14582" max="14582" width="7.08984375" style="21" customWidth="1"/>
    <col min="14583" max="14583" width="7.453125" style="21" customWidth="1"/>
    <col min="14584" max="14584" width="6.90625" style="21" customWidth="1"/>
    <col min="14585" max="14585" width="9" style="21" customWidth="1"/>
    <col min="14586" max="14586" width="9.6328125" style="21" customWidth="1"/>
    <col min="14587" max="14587" width="6.453125" style="21" customWidth="1"/>
    <col min="14588" max="14588" width="6.90625" style="21" customWidth="1"/>
    <col min="14589" max="14589" width="10.7265625" style="21" customWidth="1"/>
    <col min="14590" max="14591" width="9.6328125" style="21" customWidth="1"/>
    <col min="14592" max="14592" width="8.6328125" style="21" customWidth="1"/>
    <col min="14593" max="14593" width="6.90625" style="21" customWidth="1"/>
    <col min="14594" max="14594" width="5.36328125" style="21" customWidth="1"/>
    <col min="14595" max="14595" width="6.90625" style="21" customWidth="1"/>
    <col min="14596" max="14601" width="26.26953125" style="21" hidden="1" customWidth="1"/>
    <col min="14602" max="14796" width="9" style="21" customWidth="1"/>
    <col min="14797" max="14797" width="0.90625" style="21" customWidth="1"/>
    <col min="14798" max="14798" width="3.08984375" style="21" customWidth="1"/>
    <col min="14799" max="14799" width="3" style="21" customWidth="1"/>
    <col min="14800" max="14831" width="26.26953125" style="21"/>
    <col min="14832" max="14832" width="0.36328125" style="21" customWidth="1"/>
    <col min="14833" max="14833" width="2.6328125" style="21" customWidth="1"/>
    <col min="14834" max="14834" width="3" style="21" customWidth="1"/>
    <col min="14835" max="14835" width="9.7265625" style="21" customWidth="1"/>
    <col min="14836" max="14836" width="5.6328125" style="21" customWidth="1"/>
    <col min="14837" max="14837" width="7" style="21" customWidth="1"/>
    <col min="14838" max="14838" width="7.08984375" style="21" customWidth="1"/>
    <col min="14839" max="14839" width="7.453125" style="21" customWidth="1"/>
    <col min="14840" max="14840" width="6.90625" style="21" customWidth="1"/>
    <col min="14841" max="14841" width="9" style="21" customWidth="1"/>
    <col min="14842" max="14842" width="9.6328125" style="21" customWidth="1"/>
    <col min="14843" max="14843" width="6.453125" style="21" customWidth="1"/>
    <col min="14844" max="14844" width="6.90625" style="21" customWidth="1"/>
    <col min="14845" max="14845" width="10.7265625" style="21" customWidth="1"/>
    <col min="14846" max="14847" width="9.6328125" style="21" customWidth="1"/>
    <col min="14848" max="14848" width="8.6328125" style="21" customWidth="1"/>
    <col min="14849" max="14849" width="6.90625" style="21" customWidth="1"/>
    <col min="14850" max="14850" width="5.36328125" style="21" customWidth="1"/>
    <col min="14851" max="14851" width="6.90625" style="21" customWidth="1"/>
    <col min="14852" max="14857" width="26.26953125" style="21" hidden="1" customWidth="1"/>
    <col min="14858" max="15052" width="9" style="21" customWidth="1"/>
    <col min="15053" max="15053" width="0.90625" style="21" customWidth="1"/>
    <col min="15054" max="15054" width="3.08984375" style="21" customWidth="1"/>
    <col min="15055" max="15055" width="3" style="21" customWidth="1"/>
    <col min="15056" max="15087" width="26.26953125" style="21"/>
    <col min="15088" max="15088" width="0.36328125" style="21" customWidth="1"/>
    <col min="15089" max="15089" width="2.6328125" style="21" customWidth="1"/>
    <col min="15090" max="15090" width="3" style="21" customWidth="1"/>
    <col min="15091" max="15091" width="9.7265625" style="21" customWidth="1"/>
    <col min="15092" max="15092" width="5.6328125" style="21" customWidth="1"/>
    <col min="15093" max="15093" width="7" style="21" customWidth="1"/>
    <col min="15094" max="15094" width="7.08984375" style="21" customWidth="1"/>
    <col min="15095" max="15095" width="7.453125" style="21" customWidth="1"/>
    <col min="15096" max="15096" width="6.90625" style="21" customWidth="1"/>
    <col min="15097" max="15097" width="9" style="21" customWidth="1"/>
    <col min="15098" max="15098" width="9.6328125" style="21" customWidth="1"/>
    <col min="15099" max="15099" width="6.453125" style="21" customWidth="1"/>
    <col min="15100" max="15100" width="6.90625" style="21" customWidth="1"/>
    <col min="15101" max="15101" width="10.7265625" style="21" customWidth="1"/>
    <col min="15102" max="15103" width="9.6328125" style="21" customWidth="1"/>
    <col min="15104" max="15104" width="8.6328125" style="21" customWidth="1"/>
    <col min="15105" max="15105" width="6.90625" style="21" customWidth="1"/>
    <col min="15106" max="15106" width="5.36328125" style="21" customWidth="1"/>
    <col min="15107" max="15107" width="6.90625" style="21" customWidth="1"/>
    <col min="15108" max="15113" width="26.26953125" style="21" hidden="1" customWidth="1"/>
    <col min="15114" max="15308" width="9" style="21" customWidth="1"/>
    <col min="15309" max="15309" width="0.90625" style="21" customWidth="1"/>
    <col min="15310" max="15310" width="3.08984375" style="21" customWidth="1"/>
    <col min="15311" max="15311" width="3" style="21" customWidth="1"/>
    <col min="15312" max="15343" width="26.26953125" style="21"/>
    <col min="15344" max="15344" width="0.36328125" style="21" customWidth="1"/>
    <col min="15345" max="15345" width="2.6328125" style="21" customWidth="1"/>
    <col min="15346" max="15346" width="3" style="21" customWidth="1"/>
    <col min="15347" max="15347" width="9.7265625" style="21" customWidth="1"/>
    <col min="15348" max="15348" width="5.6328125" style="21" customWidth="1"/>
    <col min="15349" max="15349" width="7" style="21" customWidth="1"/>
    <col min="15350" max="15350" width="7.08984375" style="21" customWidth="1"/>
    <col min="15351" max="15351" width="7.453125" style="21" customWidth="1"/>
    <col min="15352" max="15352" width="6.90625" style="21" customWidth="1"/>
    <col min="15353" max="15353" width="9" style="21" customWidth="1"/>
    <col min="15354" max="15354" width="9.6328125" style="21" customWidth="1"/>
    <col min="15355" max="15355" width="6.453125" style="21" customWidth="1"/>
    <col min="15356" max="15356" width="6.90625" style="21" customWidth="1"/>
    <col min="15357" max="15357" width="10.7265625" style="21" customWidth="1"/>
    <col min="15358" max="15359" width="9.6328125" style="21" customWidth="1"/>
    <col min="15360" max="15360" width="8.6328125" style="21" customWidth="1"/>
    <col min="15361" max="15361" width="6.90625" style="21" customWidth="1"/>
    <col min="15362" max="15362" width="5.36328125" style="21" customWidth="1"/>
    <col min="15363" max="15363" width="6.90625" style="21" customWidth="1"/>
    <col min="15364" max="15369" width="26.26953125" style="21" hidden="1" customWidth="1"/>
    <col min="15370" max="15564" width="9" style="21" customWidth="1"/>
    <col min="15565" max="15565" width="0.90625" style="21" customWidth="1"/>
    <col min="15566" max="15566" width="3.08984375" style="21" customWidth="1"/>
    <col min="15567" max="15567" width="3" style="21" customWidth="1"/>
    <col min="15568" max="15599" width="26.26953125" style="21"/>
    <col min="15600" max="15600" width="0.36328125" style="21" customWidth="1"/>
    <col min="15601" max="15601" width="2.6328125" style="21" customWidth="1"/>
    <col min="15602" max="15602" width="3" style="21" customWidth="1"/>
    <col min="15603" max="15603" width="9.7265625" style="21" customWidth="1"/>
    <col min="15604" max="15604" width="5.6328125" style="21" customWidth="1"/>
    <col min="15605" max="15605" width="7" style="21" customWidth="1"/>
    <col min="15606" max="15606" width="7.08984375" style="21" customWidth="1"/>
    <col min="15607" max="15607" width="7.453125" style="21" customWidth="1"/>
    <col min="15608" max="15608" width="6.90625" style="21" customWidth="1"/>
    <col min="15609" max="15609" width="9" style="21" customWidth="1"/>
    <col min="15610" max="15610" width="9.6328125" style="21" customWidth="1"/>
    <col min="15611" max="15611" width="6.453125" style="21" customWidth="1"/>
    <col min="15612" max="15612" width="6.90625" style="21" customWidth="1"/>
    <col min="15613" max="15613" width="10.7265625" style="21" customWidth="1"/>
    <col min="15614" max="15615" width="9.6328125" style="21" customWidth="1"/>
    <col min="15616" max="15616" width="8.6328125" style="21" customWidth="1"/>
    <col min="15617" max="15617" width="6.90625" style="21" customWidth="1"/>
    <col min="15618" max="15618" width="5.36328125" style="21" customWidth="1"/>
    <col min="15619" max="15619" width="6.90625" style="21" customWidth="1"/>
    <col min="15620" max="15625" width="26.26953125" style="21" hidden="1" customWidth="1"/>
    <col min="15626" max="15820" width="9" style="21" customWidth="1"/>
    <col min="15821" max="15821" width="0.90625" style="21" customWidth="1"/>
    <col min="15822" max="15822" width="3.08984375" style="21" customWidth="1"/>
    <col min="15823" max="15823" width="3" style="21" customWidth="1"/>
    <col min="15824" max="15855" width="26.26953125" style="21"/>
    <col min="15856" max="15856" width="0.36328125" style="21" customWidth="1"/>
    <col min="15857" max="15857" width="2.6328125" style="21" customWidth="1"/>
    <col min="15858" max="15858" width="3" style="21" customWidth="1"/>
    <col min="15859" max="15859" width="9.7265625" style="21" customWidth="1"/>
    <col min="15860" max="15860" width="5.6328125" style="21" customWidth="1"/>
    <col min="15861" max="15861" width="7" style="21" customWidth="1"/>
    <col min="15862" max="15862" width="7.08984375" style="21" customWidth="1"/>
    <col min="15863" max="15863" width="7.453125" style="21" customWidth="1"/>
    <col min="15864" max="15864" width="6.90625" style="21" customWidth="1"/>
    <col min="15865" max="15865" width="9" style="21" customWidth="1"/>
    <col min="15866" max="15866" width="9.6328125" style="21" customWidth="1"/>
    <col min="15867" max="15867" width="6.453125" style="21" customWidth="1"/>
    <col min="15868" max="15868" width="6.90625" style="21" customWidth="1"/>
    <col min="15869" max="15869" width="10.7265625" style="21" customWidth="1"/>
    <col min="15870" max="15871" width="9.6328125" style="21" customWidth="1"/>
    <col min="15872" max="15872" width="8.6328125" style="21" customWidth="1"/>
    <col min="15873" max="15873" width="6.90625" style="21" customWidth="1"/>
    <col min="15874" max="15874" width="5.36328125" style="21" customWidth="1"/>
    <col min="15875" max="15875" width="6.90625" style="21" customWidth="1"/>
    <col min="15876" max="15881" width="26.26953125" style="21" hidden="1" customWidth="1"/>
    <col min="15882" max="16076" width="9" style="21" customWidth="1"/>
    <col min="16077" max="16077" width="0.90625" style="21" customWidth="1"/>
    <col min="16078" max="16078" width="3.08984375" style="21" customWidth="1"/>
    <col min="16079" max="16079" width="3" style="21" customWidth="1"/>
    <col min="16080" max="16111" width="26.26953125" style="21"/>
    <col min="16112" max="16112" width="0.36328125" style="21" customWidth="1"/>
    <col min="16113" max="16113" width="2.6328125" style="21" customWidth="1"/>
    <col min="16114" max="16114" width="3" style="21" customWidth="1"/>
    <col min="16115" max="16115" width="9.7265625" style="21" customWidth="1"/>
    <col min="16116" max="16116" width="5.6328125" style="21" customWidth="1"/>
    <col min="16117" max="16117" width="7" style="21" customWidth="1"/>
    <col min="16118" max="16118" width="7.08984375" style="21" customWidth="1"/>
    <col min="16119" max="16119" width="7.453125" style="21" customWidth="1"/>
    <col min="16120" max="16120" width="6.90625" style="21" customWidth="1"/>
    <col min="16121" max="16121" width="9" style="21" customWidth="1"/>
    <col min="16122" max="16122" width="9.6328125" style="21" customWidth="1"/>
    <col min="16123" max="16123" width="6.453125" style="21" customWidth="1"/>
    <col min="16124" max="16124" width="6.90625" style="21" customWidth="1"/>
    <col min="16125" max="16125" width="10.7265625" style="21" customWidth="1"/>
    <col min="16126" max="16127" width="9.6328125" style="21" customWidth="1"/>
    <col min="16128" max="16128" width="8.6328125" style="21" customWidth="1"/>
    <col min="16129" max="16129" width="6.90625" style="21" customWidth="1"/>
    <col min="16130" max="16130" width="5.36328125" style="21" customWidth="1"/>
    <col min="16131" max="16131" width="6.90625" style="21" customWidth="1"/>
    <col min="16132" max="16137" width="26.26953125" style="21" hidden="1" customWidth="1"/>
    <col min="16138" max="16332" width="9" style="21" customWidth="1"/>
    <col min="16333" max="16333" width="0.90625" style="21" customWidth="1"/>
    <col min="16334" max="16334" width="3.08984375" style="21" customWidth="1"/>
    <col min="16335" max="16335" width="3" style="21" customWidth="1"/>
    <col min="16336" max="16384" width="26.26953125" style="21"/>
  </cols>
  <sheetData>
    <row r="5" spans="2:9" ht="15">
      <c r="B5" s="23" t="s">
        <v>63</v>
      </c>
      <c r="C5" s="23"/>
      <c r="D5" s="24"/>
    </row>
    <row r="6" spans="2:9">
      <c r="B6" s="25" t="s">
        <v>27</v>
      </c>
      <c r="C6" s="25"/>
      <c r="D6" s="26"/>
    </row>
    <row r="7" spans="2:9" ht="14" customHeight="1">
      <c r="B7" s="89" t="s">
        <v>28</v>
      </c>
      <c r="C7" s="89" t="s">
        <v>29</v>
      </c>
      <c r="D7" s="92" t="s">
        <v>64</v>
      </c>
      <c r="E7" s="89" t="s">
        <v>65</v>
      </c>
      <c r="F7" s="89" t="s">
        <v>66</v>
      </c>
      <c r="G7" s="89" t="s">
        <v>67</v>
      </c>
      <c r="H7" s="89" t="s">
        <v>68</v>
      </c>
      <c r="I7" s="89" t="s">
        <v>69</v>
      </c>
    </row>
    <row r="8" spans="2:9" ht="10" customHeight="1">
      <c r="B8" s="89"/>
      <c r="C8" s="89"/>
      <c r="D8" s="93"/>
      <c r="E8" s="89"/>
      <c r="F8" s="89"/>
      <c r="G8" s="89"/>
      <c r="H8" s="89"/>
      <c r="I8" s="89"/>
    </row>
    <row r="9" spans="2:9">
      <c r="B9" s="89"/>
      <c r="C9" s="89"/>
      <c r="D9" s="94"/>
      <c r="E9" s="89"/>
      <c r="F9" s="89"/>
      <c r="G9" s="89"/>
      <c r="H9" s="89"/>
      <c r="I9" s="89"/>
    </row>
    <row r="10" spans="2:9" ht="14" customHeight="1">
      <c r="B10" s="27"/>
      <c r="C10" s="28"/>
      <c r="D10" s="28"/>
      <c r="E10" s="28"/>
      <c r="F10" s="28"/>
      <c r="G10" s="28"/>
      <c r="H10" s="28"/>
      <c r="I10" s="28"/>
    </row>
    <row r="11" spans="2:9" s="20" customFormat="1" ht="14" hidden="1" customHeight="1">
      <c r="B11" s="27"/>
      <c r="C11" s="28"/>
      <c r="D11" s="28"/>
      <c r="E11" s="28"/>
      <c r="F11" s="28"/>
      <c r="G11" s="28"/>
      <c r="H11" s="28"/>
      <c r="I11" s="28"/>
    </row>
    <row r="12" spans="2:9">
      <c r="B12" s="27"/>
      <c r="C12" s="28"/>
      <c r="D12" s="28"/>
      <c r="E12" s="28"/>
      <c r="F12" s="28"/>
      <c r="G12" s="28"/>
      <c r="H12" s="28"/>
      <c r="I12" s="28"/>
    </row>
    <row r="13" spans="2:9">
      <c r="B13" s="27"/>
      <c r="C13" s="28"/>
      <c r="D13" s="28"/>
      <c r="E13" s="28"/>
      <c r="F13" s="28"/>
      <c r="G13" s="28"/>
      <c r="H13" s="28"/>
      <c r="I13" s="28"/>
    </row>
  </sheetData>
  <mergeCells count="8">
    <mergeCell ref="G7:G9"/>
    <mergeCell ref="H7:H9"/>
    <mergeCell ref="I7:I9"/>
    <mergeCell ref="B7:B9"/>
    <mergeCell ref="C7:C9"/>
    <mergeCell ref="D7:D9"/>
    <mergeCell ref="E7:E9"/>
    <mergeCell ref="F7:F9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showGridLines="0" view="pageBreakPreview" zoomScale="90" zoomScaleNormal="100" workbookViewId="0">
      <selection activeCell="B4" sqref="B4"/>
    </sheetView>
  </sheetViews>
  <sheetFormatPr defaultColWidth="9" defaultRowHeight="14"/>
  <cols>
    <col min="1" max="1" width="3.26953125" style="1" customWidth="1"/>
    <col min="2" max="3" width="9.453125" style="2" customWidth="1"/>
    <col min="4" max="5" width="9.7265625" style="2" customWidth="1"/>
    <col min="6" max="6" width="16.36328125" style="2" customWidth="1"/>
    <col min="7" max="7" width="15.6328125" style="2" customWidth="1"/>
    <col min="8" max="8" width="5.453125" style="2" customWidth="1"/>
    <col min="9" max="9" width="1.6328125" style="2" customWidth="1"/>
    <col min="10" max="16384" width="9" style="2"/>
  </cols>
  <sheetData>
    <row r="1" spans="1:8" ht="45" customHeight="1"/>
    <row r="2" spans="1:8" ht="19" customHeight="1"/>
    <row r="3" spans="1:8" ht="17.5">
      <c r="B3" s="82" t="s">
        <v>70</v>
      </c>
      <c r="C3" s="82"/>
      <c r="D3" s="82"/>
      <c r="E3" s="82"/>
      <c r="F3" s="82"/>
      <c r="G3" s="82"/>
      <c r="H3" s="82"/>
    </row>
    <row r="4" spans="1:8" ht="20.149999999999999" customHeight="1">
      <c r="A4" s="3" t="s">
        <v>28</v>
      </c>
      <c r="B4" s="5" t="s">
        <v>29</v>
      </c>
      <c r="C4" s="5" t="s">
        <v>13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19</v>
      </c>
    </row>
    <row r="5" spans="1:8">
      <c r="A5" s="1">
        <v>1</v>
      </c>
      <c r="B5" s="8"/>
      <c r="C5" s="8"/>
      <c r="D5" s="8"/>
      <c r="E5" s="8"/>
      <c r="F5" s="8"/>
      <c r="G5" s="8"/>
      <c r="H5" s="8"/>
    </row>
    <row r="6" spans="1:8">
      <c r="A6" s="1">
        <v>2</v>
      </c>
      <c r="B6" s="8"/>
      <c r="C6" s="8"/>
      <c r="D6" s="8"/>
      <c r="E6" s="8"/>
      <c r="F6" s="8"/>
      <c r="G6" s="8"/>
      <c r="H6" s="8"/>
    </row>
    <row r="7" spans="1:8">
      <c r="A7" s="1">
        <v>3</v>
      </c>
      <c r="B7" s="8"/>
      <c r="C7" s="8"/>
      <c r="D7" s="8"/>
      <c r="E7" s="8"/>
      <c r="F7" s="8"/>
      <c r="G7" s="8"/>
      <c r="H7" s="8"/>
    </row>
    <row r="8" spans="1:8">
      <c r="A8" s="1">
        <v>4</v>
      </c>
      <c r="B8" s="8"/>
      <c r="C8" s="8"/>
      <c r="D8" s="8"/>
      <c r="E8" s="8"/>
      <c r="F8" s="8"/>
      <c r="G8" s="8"/>
      <c r="H8" s="8"/>
    </row>
    <row r="9" spans="1:8">
      <c r="A9" s="1">
        <v>5</v>
      </c>
      <c r="B9" s="8"/>
      <c r="C9" s="8"/>
      <c r="D9" s="8"/>
      <c r="E9" s="8"/>
      <c r="F9" s="8"/>
      <c r="G9" s="8"/>
      <c r="H9" s="8"/>
    </row>
    <row r="10" spans="1:8">
      <c r="A10" s="1">
        <v>6</v>
      </c>
      <c r="B10" s="8"/>
      <c r="C10" s="8"/>
      <c r="D10" s="8"/>
      <c r="E10" s="8"/>
      <c r="F10" s="8"/>
      <c r="G10" s="8"/>
      <c r="H10" s="8"/>
    </row>
    <row r="11" spans="1:8">
      <c r="A11" s="1">
        <v>7</v>
      </c>
      <c r="B11" s="8"/>
      <c r="C11" s="8"/>
      <c r="D11" s="8"/>
      <c r="E11" s="8"/>
      <c r="F11" s="8"/>
      <c r="G11" s="8"/>
      <c r="H11" s="8"/>
    </row>
    <row r="12" spans="1:8">
      <c r="A12" s="1">
        <v>8</v>
      </c>
      <c r="B12" s="8"/>
      <c r="C12" s="8"/>
      <c r="D12" s="8"/>
      <c r="E12" s="8"/>
      <c r="F12" s="8"/>
      <c r="G12" s="8"/>
      <c r="H12" s="8"/>
    </row>
    <row r="13" spans="1:8">
      <c r="A13" s="1">
        <v>9</v>
      </c>
      <c r="B13" s="8"/>
      <c r="C13" s="8"/>
      <c r="D13" s="8"/>
      <c r="E13" s="8"/>
      <c r="F13" s="8"/>
      <c r="G13" s="8"/>
      <c r="H13" s="8"/>
    </row>
    <row r="14" spans="1:8">
      <c r="A14" s="1">
        <v>10</v>
      </c>
      <c r="B14" s="8"/>
      <c r="C14" s="8"/>
      <c r="D14" s="8"/>
      <c r="E14" s="8"/>
      <c r="F14" s="8"/>
      <c r="G14" s="8"/>
      <c r="H14" s="8"/>
    </row>
    <row r="15" spans="1:8">
      <c r="A15" s="1">
        <v>11</v>
      </c>
      <c r="B15" s="8"/>
      <c r="C15" s="8"/>
      <c r="D15" s="8"/>
      <c r="E15" s="8"/>
      <c r="F15" s="8"/>
      <c r="G15" s="8"/>
      <c r="H15" s="8"/>
    </row>
    <row r="16" spans="1:8">
      <c r="A16" s="1">
        <v>12</v>
      </c>
      <c r="B16" s="8"/>
      <c r="C16" s="8"/>
      <c r="D16" s="8"/>
      <c r="E16" s="8"/>
      <c r="F16" s="8"/>
      <c r="G16" s="8"/>
      <c r="H16" s="8"/>
    </row>
    <row r="17" spans="1:8">
      <c r="A17" s="1">
        <v>13</v>
      </c>
      <c r="B17" s="8"/>
      <c r="C17" s="8"/>
      <c r="D17" s="8"/>
      <c r="E17" s="8"/>
      <c r="F17" s="8"/>
      <c r="G17" s="8"/>
      <c r="H17" s="8"/>
    </row>
    <row r="18" spans="1:8">
      <c r="A18" s="1">
        <v>14</v>
      </c>
      <c r="B18" s="8"/>
      <c r="C18" s="8"/>
      <c r="D18" s="8"/>
      <c r="E18" s="8"/>
      <c r="F18" s="8"/>
      <c r="G18" s="8"/>
      <c r="H18" s="8"/>
    </row>
    <row r="19" spans="1:8">
      <c r="A19" s="1">
        <v>15</v>
      </c>
      <c r="B19" s="8"/>
      <c r="C19" s="8"/>
      <c r="D19" s="8"/>
      <c r="E19" s="8"/>
      <c r="F19" s="8"/>
      <c r="G19" s="8"/>
      <c r="H19" s="8"/>
    </row>
    <row r="20" spans="1:8">
      <c r="A20" s="1">
        <v>16</v>
      </c>
      <c r="B20" s="8"/>
      <c r="C20" s="8"/>
      <c r="D20" s="8"/>
      <c r="E20" s="8"/>
      <c r="F20" s="8"/>
      <c r="G20" s="8"/>
      <c r="H20" s="8"/>
    </row>
    <row r="21" spans="1:8">
      <c r="A21" s="1">
        <v>17</v>
      </c>
      <c r="B21" s="8"/>
      <c r="C21" s="8"/>
      <c r="D21" s="8"/>
      <c r="E21" s="8"/>
      <c r="F21" s="8"/>
      <c r="G21" s="8"/>
      <c r="H21" s="8"/>
    </row>
    <row r="22" spans="1:8">
      <c r="A22" s="1">
        <v>18</v>
      </c>
      <c r="B22" s="8"/>
      <c r="C22" s="8"/>
      <c r="D22" s="8"/>
      <c r="E22" s="8"/>
      <c r="F22" s="8"/>
      <c r="G22" s="8"/>
      <c r="H22" s="8"/>
    </row>
    <row r="23" spans="1:8">
      <c r="A23" s="1">
        <v>19</v>
      </c>
      <c r="B23" s="8"/>
      <c r="C23" s="8"/>
      <c r="D23" s="8"/>
      <c r="E23" s="8"/>
      <c r="F23" s="8"/>
      <c r="G23" s="8"/>
      <c r="H23" s="8"/>
    </row>
    <row r="24" spans="1:8">
      <c r="A24" s="1">
        <v>20</v>
      </c>
      <c r="B24" s="8"/>
      <c r="C24" s="8"/>
      <c r="D24" s="8"/>
      <c r="E24" s="8"/>
      <c r="F24" s="8"/>
      <c r="G24" s="8"/>
      <c r="H24" s="8"/>
    </row>
    <row r="25" spans="1:8">
      <c r="A25" s="1">
        <v>21</v>
      </c>
      <c r="B25" s="8"/>
      <c r="C25" s="8"/>
      <c r="D25" s="8"/>
      <c r="E25" s="8"/>
      <c r="F25" s="8"/>
      <c r="G25" s="8"/>
      <c r="H25" s="8"/>
    </row>
    <row r="26" spans="1:8">
      <c r="A26" s="1">
        <v>22</v>
      </c>
      <c r="B26" s="8"/>
      <c r="C26" s="8"/>
      <c r="D26" s="8"/>
      <c r="E26" s="8"/>
      <c r="F26" s="8"/>
      <c r="G26" s="8"/>
      <c r="H26" s="8"/>
    </row>
    <row r="27" spans="1:8">
      <c r="A27" s="1">
        <v>23</v>
      </c>
      <c r="B27" s="8"/>
      <c r="C27" s="8"/>
      <c r="D27" s="8"/>
      <c r="E27" s="8"/>
      <c r="F27" s="8"/>
      <c r="G27" s="8"/>
      <c r="H27" s="8"/>
    </row>
    <row r="28" spans="1:8">
      <c r="A28" s="1">
        <v>24</v>
      </c>
      <c r="B28" s="8"/>
      <c r="C28" s="8"/>
      <c r="D28" s="8"/>
      <c r="E28" s="8"/>
      <c r="F28" s="8"/>
      <c r="G28" s="8"/>
      <c r="H28" s="8"/>
    </row>
    <row r="29" spans="1:8">
      <c r="A29" s="1">
        <v>25</v>
      </c>
      <c r="B29" s="8"/>
      <c r="C29" s="8"/>
      <c r="D29" s="8"/>
      <c r="E29" s="8"/>
      <c r="F29" s="8"/>
      <c r="G29" s="8"/>
      <c r="H29" s="8"/>
    </row>
    <row r="30" spans="1:8">
      <c r="A30" s="1">
        <v>26</v>
      </c>
      <c r="B30" s="8"/>
      <c r="C30" s="8"/>
      <c r="D30" s="8"/>
      <c r="E30" s="8"/>
      <c r="F30" s="8"/>
      <c r="G30" s="8"/>
      <c r="H30" s="8"/>
    </row>
    <row r="31" spans="1:8">
      <c r="A31" s="1">
        <v>27</v>
      </c>
      <c r="B31" s="8"/>
      <c r="C31" s="8"/>
      <c r="D31" s="8"/>
      <c r="E31" s="8"/>
      <c r="F31" s="8"/>
      <c r="G31" s="8"/>
      <c r="H31" s="8"/>
    </row>
    <row r="32" spans="1:8">
      <c r="A32" s="1">
        <v>28</v>
      </c>
      <c r="B32" s="8"/>
      <c r="C32" s="8"/>
      <c r="D32" s="8"/>
      <c r="E32" s="8"/>
      <c r="F32" s="8"/>
      <c r="G32" s="8"/>
      <c r="H32" s="8"/>
    </row>
    <row r="33" spans="1:8">
      <c r="A33" s="1">
        <v>29</v>
      </c>
      <c r="B33" s="8"/>
      <c r="C33" s="8"/>
      <c r="D33" s="8"/>
      <c r="E33" s="8"/>
      <c r="F33" s="8"/>
      <c r="G33" s="8"/>
      <c r="H33" s="8"/>
    </row>
    <row r="34" spans="1:8">
      <c r="A34" s="1">
        <v>30</v>
      </c>
      <c r="B34" s="8"/>
      <c r="C34" s="8"/>
      <c r="D34" s="8"/>
      <c r="E34" s="8"/>
      <c r="F34" s="8"/>
      <c r="G34" s="8"/>
      <c r="H34" s="8"/>
    </row>
    <row r="35" spans="1:8">
      <c r="A35" s="1">
        <v>31</v>
      </c>
      <c r="B35" s="8"/>
      <c r="C35" s="8"/>
      <c r="D35" s="8"/>
      <c r="E35" s="8"/>
      <c r="F35" s="8"/>
      <c r="G35" s="8"/>
      <c r="H35" s="8"/>
    </row>
    <row r="36" spans="1:8">
      <c r="A36" s="1">
        <v>32</v>
      </c>
      <c r="B36" s="8"/>
      <c r="C36" s="8"/>
      <c r="D36" s="8"/>
      <c r="E36" s="8"/>
      <c r="F36" s="8"/>
      <c r="G36" s="8"/>
      <c r="H36" s="8"/>
    </row>
    <row r="37" spans="1:8">
      <c r="A37" s="1">
        <v>33</v>
      </c>
      <c r="B37" s="8"/>
      <c r="C37" s="8"/>
      <c r="D37" s="8"/>
      <c r="E37" s="8"/>
      <c r="F37" s="8"/>
      <c r="G37" s="8"/>
      <c r="H37" s="8"/>
    </row>
    <row r="38" spans="1:8">
      <c r="A38" s="1">
        <v>34</v>
      </c>
      <c r="B38" s="8"/>
      <c r="C38" s="8"/>
      <c r="D38" s="8"/>
      <c r="E38" s="8"/>
      <c r="F38" s="8"/>
      <c r="G38" s="8"/>
      <c r="H38" s="8"/>
    </row>
    <row r="39" spans="1:8">
      <c r="A39" s="1">
        <v>35</v>
      </c>
      <c r="B39" s="8"/>
      <c r="C39" s="8"/>
      <c r="D39" s="8"/>
      <c r="E39" s="8"/>
      <c r="F39" s="8"/>
      <c r="G39" s="8"/>
      <c r="H39" s="8"/>
    </row>
    <row r="40" spans="1:8">
      <c r="A40" s="1">
        <v>36</v>
      </c>
      <c r="B40" s="8"/>
      <c r="C40" s="8"/>
      <c r="D40" s="8"/>
      <c r="E40" s="8"/>
      <c r="F40" s="8"/>
      <c r="G40" s="8"/>
      <c r="H40" s="8"/>
    </row>
    <row r="41" spans="1:8">
      <c r="A41" s="1">
        <v>37</v>
      </c>
      <c r="B41" s="8"/>
      <c r="C41" s="8"/>
      <c r="D41" s="8"/>
      <c r="E41" s="8"/>
      <c r="F41" s="8"/>
      <c r="G41" s="8"/>
      <c r="H41" s="8"/>
    </row>
    <row r="42" spans="1:8">
      <c r="A42" s="1">
        <v>38</v>
      </c>
      <c r="B42" s="8"/>
      <c r="C42" s="8"/>
      <c r="D42" s="8"/>
      <c r="E42" s="8"/>
      <c r="F42" s="8"/>
      <c r="G42" s="8"/>
      <c r="H42" s="8"/>
    </row>
    <row r="43" spans="1:8">
      <c r="A43" s="1">
        <v>39</v>
      </c>
      <c r="B43" s="8"/>
      <c r="C43" s="8"/>
      <c r="D43" s="8"/>
      <c r="E43" s="8"/>
      <c r="F43" s="8"/>
      <c r="G43" s="8"/>
      <c r="H43" s="8"/>
    </row>
    <row r="44" spans="1:8">
      <c r="A44" s="1">
        <v>40</v>
      </c>
      <c r="B44" s="8"/>
      <c r="C44" s="8"/>
      <c r="D44" s="8"/>
      <c r="E44" s="8"/>
      <c r="F44" s="8"/>
      <c r="G44" s="8"/>
      <c r="H44" s="8"/>
    </row>
    <row r="45" spans="1:8">
      <c r="A45" s="1">
        <v>41</v>
      </c>
      <c r="B45" s="8"/>
      <c r="C45" s="8"/>
      <c r="D45" s="8"/>
      <c r="E45" s="8"/>
      <c r="F45" s="8"/>
      <c r="G45" s="8"/>
      <c r="H45" s="8"/>
    </row>
    <row r="46" spans="1:8">
      <c r="A46" s="1">
        <v>42</v>
      </c>
      <c r="B46" s="8"/>
      <c r="C46" s="8"/>
      <c r="D46" s="8"/>
      <c r="E46" s="8"/>
      <c r="F46" s="8"/>
      <c r="G46" s="8"/>
      <c r="H46" s="8"/>
    </row>
    <row r="47" spans="1:8">
      <c r="A47" s="1">
        <v>43</v>
      </c>
      <c r="B47" s="8"/>
      <c r="C47" s="8"/>
      <c r="D47" s="8"/>
      <c r="E47" s="8"/>
      <c r="F47" s="8"/>
      <c r="G47" s="8"/>
      <c r="H47" s="8"/>
    </row>
    <row r="48" spans="1:8">
      <c r="A48" s="1">
        <v>44</v>
      </c>
      <c r="B48" s="8"/>
      <c r="C48" s="8"/>
      <c r="D48" s="8"/>
      <c r="E48" s="8"/>
      <c r="F48" s="8"/>
      <c r="G48" s="8"/>
      <c r="H48" s="8"/>
    </row>
    <row r="49" spans="1:8">
      <c r="A49" s="1">
        <v>45</v>
      </c>
      <c r="B49" s="8"/>
      <c r="C49" s="8"/>
      <c r="D49" s="8"/>
      <c r="E49" s="8"/>
      <c r="F49" s="8"/>
      <c r="G49" s="8"/>
      <c r="H49" s="8"/>
    </row>
    <row r="50" spans="1:8">
      <c r="A50" s="1">
        <v>46</v>
      </c>
      <c r="B50" s="8"/>
      <c r="C50" s="8"/>
      <c r="D50" s="8"/>
      <c r="E50" s="8"/>
      <c r="F50" s="8"/>
      <c r="G50" s="8"/>
      <c r="H50" s="8"/>
    </row>
    <row r="51" spans="1:8">
      <c r="A51" s="1">
        <v>47</v>
      </c>
      <c r="B51" s="8"/>
      <c r="C51" s="8"/>
      <c r="D51" s="8"/>
      <c r="E51" s="8"/>
      <c r="F51" s="8"/>
      <c r="G51" s="8"/>
      <c r="H51" s="8"/>
    </row>
    <row r="52" spans="1:8">
      <c r="A52" s="1">
        <v>48</v>
      </c>
      <c r="B52" s="8"/>
      <c r="C52" s="8"/>
      <c r="D52" s="8"/>
      <c r="E52" s="8"/>
      <c r="F52" s="8"/>
      <c r="G52" s="8"/>
      <c r="H52" s="8"/>
    </row>
    <row r="53" spans="1:8">
      <c r="A53" s="1">
        <v>49</v>
      </c>
      <c r="B53" s="8"/>
      <c r="C53" s="8"/>
      <c r="D53" s="8"/>
      <c r="E53" s="8"/>
      <c r="F53" s="8"/>
      <c r="G53" s="8"/>
      <c r="H53" s="8"/>
    </row>
    <row r="54" spans="1:8">
      <c r="A54" s="1">
        <v>50</v>
      </c>
      <c r="B54" s="8"/>
      <c r="C54" s="8"/>
      <c r="D54" s="8"/>
      <c r="E54" s="8"/>
      <c r="F54" s="8"/>
      <c r="G54" s="8"/>
      <c r="H54" s="8"/>
    </row>
  </sheetData>
  <mergeCells count="1">
    <mergeCell ref="B3:H3"/>
  </mergeCells>
  <phoneticPr fontId="31" type="noConversion"/>
  <pageMargins left="0.53" right="0.34" top="0.5" bottom="0.44" header="0.33" footer="0.31496062992126"/>
  <pageSetup paperSize="9" scale="90" orientation="portrait" horizontalDpi="2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view="pageBreakPreview" zoomScale="96" zoomScaleNormal="100" workbookViewId="0">
      <selection activeCell="B4" sqref="B4"/>
    </sheetView>
  </sheetViews>
  <sheetFormatPr defaultColWidth="9" defaultRowHeight="14"/>
  <cols>
    <col min="1" max="1" width="2.36328125" style="1" customWidth="1"/>
    <col min="2" max="2" width="18.7265625" style="2" customWidth="1"/>
    <col min="3" max="3" width="13.08984375" style="2" customWidth="1"/>
    <col min="4" max="4" width="16.26953125" style="2" customWidth="1"/>
    <col min="5" max="5" width="18.08984375" style="2" customWidth="1"/>
    <col min="6" max="6" width="20.6328125" style="2" customWidth="1"/>
    <col min="7" max="7" width="1.6328125" style="2" customWidth="1"/>
    <col min="8" max="16384" width="9" style="2"/>
  </cols>
  <sheetData>
    <row r="1" spans="1:6" ht="45" customHeight="1"/>
    <row r="2" spans="1:6" ht="20" customHeight="1"/>
    <row r="3" spans="1:6" ht="25" customHeight="1">
      <c r="B3" s="82" t="s">
        <v>75</v>
      </c>
      <c r="C3" s="82"/>
      <c r="D3" s="82"/>
      <c r="E3" s="82"/>
      <c r="F3" s="82"/>
    </row>
    <row r="4" spans="1:6">
      <c r="A4" s="3" t="s">
        <v>28</v>
      </c>
      <c r="B4" s="5" t="s">
        <v>76</v>
      </c>
      <c r="C4" s="5" t="s">
        <v>77</v>
      </c>
      <c r="D4" s="5" t="s">
        <v>59</v>
      </c>
      <c r="E4" s="5" t="s">
        <v>60</v>
      </c>
      <c r="F4" s="5" t="s">
        <v>19</v>
      </c>
    </row>
    <row r="5" spans="1:6">
      <c r="A5" s="1">
        <v>1</v>
      </c>
      <c r="B5" s="6"/>
      <c r="C5" s="6"/>
      <c r="D5" s="7"/>
      <c r="E5" s="8"/>
      <c r="F5" s="8"/>
    </row>
    <row r="6" spans="1:6">
      <c r="A6" s="1">
        <v>2</v>
      </c>
      <c r="B6" s="8"/>
      <c r="C6" s="8"/>
      <c r="D6" s="8"/>
      <c r="E6" s="8"/>
      <c r="F6" s="8"/>
    </row>
    <row r="7" spans="1:6">
      <c r="A7" s="1">
        <v>3</v>
      </c>
      <c r="B7" s="8"/>
      <c r="C7" s="8"/>
      <c r="D7" s="8"/>
      <c r="E7" s="8"/>
      <c r="F7" s="8"/>
    </row>
    <row r="8" spans="1:6">
      <c r="A8" s="1">
        <v>4</v>
      </c>
      <c r="B8" s="8"/>
      <c r="C8" s="8"/>
      <c r="D8" s="8"/>
      <c r="E8" s="8"/>
      <c r="F8" s="8"/>
    </row>
    <row r="9" spans="1:6">
      <c r="A9" s="1">
        <v>5</v>
      </c>
      <c r="B9" s="8"/>
      <c r="C9" s="8"/>
      <c r="D9" s="8"/>
      <c r="E9" s="8"/>
      <c r="F9" s="8"/>
    </row>
    <row r="10" spans="1:6">
      <c r="A10" s="1">
        <v>6</v>
      </c>
      <c r="B10" s="8"/>
      <c r="C10" s="8"/>
      <c r="D10" s="8"/>
      <c r="E10" s="8"/>
      <c r="F10" s="8"/>
    </row>
    <row r="11" spans="1:6">
      <c r="A11" s="1">
        <v>7</v>
      </c>
      <c r="B11" s="8"/>
      <c r="C11" s="8"/>
      <c r="D11" s="8"/>
      <c r="E11" s="8"/>
      <c r="F11" s="8"/>
    </row>
    <row r="12" spans="1:6">
      <c r="A12" s="1">
        <v>8</v>
      </c>
      <c r="B12" s="8"/>
      <c r="C12" s="8"/>
      <c r="D12" s="8"/>
      <c r="E12" s="8"/>
      <c r="F12" s="8"/>
    </row>
    <row r="13" spans="1:6">
      <c r="A13" s="1">
        <v>9</v>
      </c>
      <c r="B13" s="8"/>
      <c r="C13" s="8"/>
      <c r="D13" s="8"/>
      <c r="E13" s="8"/>
      <c r="F13" s="8"/>
    </row>
  </sheetData>
  <mergeCells count="1">
    <mergeCell ref="B3:F3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showGridLines="0" view="pageBreakPreview" zoomScale="115" zoomScaleNormal="100" workbookViewId="0">
      <selection activeCell="H4" sqref="H4"/>
    </sheetView>
  </sheetViews>
  <sheetFormatPr defaultColWidth="9" defaultRowHeight="14"/>
  <cols>
    <col min="1" max="1" width="2.36328125" style="1" customWidth="1"/>
    <col min="2" max="3" width="15.90625" style="2" customWidth="1"/>
    <col min="4" max="6" width="9.453125" style="2" customWidth="1"/>
    <col min="7" max="7" width="15.81640625" style="2" customWidth="1"/>
    <col min="8" max="9" width="9.90625" style="2" customWidth="1"/>
    <col min="10" max="10" width="10.7265625" style="2" customWidth="1"/>
    <col min="11" max="11" width="1.36328125" style="2" customWidth="1"/>
    <col min="12" max="16384" width="9" style="2"/>
  </cols>
  <sheetData>
    <row r="1" spans="1:10" ht="45" customHeight="1"/>
    <row r="2" spans="1:10" ht="20" customHeight="1"/>
    <row r="3" spans="1:10" s="14" customFormat="1" ht="25" customHeight="1">
      <c r="A3" s="15"/>
      <c r="B3" s="95" t="s">
        <v>78</v>
      </c>
      <c r="C3" s="95"/>
      <c r="D3" s="95"/>
      <c r="E3" s="95"/>
      <c r="F3" s="95"/>
      <c r="G3" s="95"/>
      <c r="H3" s="95"/>
      <c r="I3" s="95"/>
      <c r="J3" s="95"/>
    </row>
    <row r="4" spans="1:10" s="14" customFormat="1" ht="33">
      <c r="A4" s="16" t="s">
        <v>28</v>
      </c>
      <c r="B4" s="17" t="s">
        <v>79</v>
      </c>
      <c r="C4" s="18" t="s">
        <v>80</v>
      </c>
      <c r="D4" s="18" t="s">
        <v>77</v>
      </c>
      <c r="E4" s="18" t="s">
        <v>81</v>
      </c>
      <c r="F4" s="18" t="s">
        <v>82</v>
      </c>
      <c r="G4" s="19" t="s">
        <v>83</v>
      </c>
      <c r="H4" s="18" t="s">
        <v>84</v>
      </c>
      <c r="I4" s="18" t="s">
        <v>85</v>
      </c>
      <c r="J4" s="18" t="s">
        <v>19</v>
      </c>
    </row>
    <row r="5" spans="1:10">
      <c r="A5" s="1">
        <v>1</v>
      </c>
      <c r="B5" s="6"/>
      <c r="C5" s="6"/>
      <c r="D5" s="7"/>
      <c r="E5" s="8"/>
      <c r="F5" s="8"/>
      <c r="G5" s="7"/>
      <c r="H5" s="7"/>
      <c r="I5" s="7"/>
      <c r="J5" s="8"/>
    </row>
    <row r="6" spans="1:10">
      <c r="A6" s="1">
        <v>2</v>
      </c>
      <c r="B6" s="8"/>
      <c r="C6" s="8"/>
      <c r="D6" s="8"/>
      <c r="E6" s="8"/>
      <c r="F6" s="8"/>
      <c r="G6" s="8"/>
      <c r="H6" s="8"/>
      <c r="I6" s="8"/>
      <c r="J6" s="8"/>
    </row>
    <row r="7" spans="1:10">
      <c r="A7" s="1">
        <v>3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1">
        <v>4</v>
      </c>
      <c r="B8" s="8"/>
      <c r="C8" s="8"/>
      <c r="D8" s="8"/>
      <c r="E8" s="8"/>
      <c r="F8" s="8"/>
      <c r="G8" s="8"/>
      <c r="H8" s="8"/>
      <c r="I8" s="8"/>
      <c r="J8" s="8"/>
    </row>
    <row r="9" spans="1:10">
      <c r="A9" s="1">
        <v>5</v>
      </c>
      <c r="B9" s="8"/>
      <c r="C9" s="8"/>
      <c r="D9" s="8"/>
      <c r="E9" s="8"/>
      <c r="F9" s="8"/>
      <c r="G9" s="8"/>
      <c r="H9" s="8"/>
      <c r="I9" s="8"/>
      <c r="J9" s="8"/>
    </row>
    <row r="10" spans="1:10">
      <c r="A10" s="1">
        <v>6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1">
        <v>7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1">
        <v>8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1">
        <v>9</v>
      </c>
      <c r="B13" s="8"/>
      <c r="C13" s="8"/>
      <c r="D13" s="8"/>
      <c r="E13" s="8"/>
      <c r="F13" s="8"/>
      <c r="G13" s="8"/>
      <c r="H13" s="8"/>
      <c r="I13" s="8"/>
      <c r="J13" s="8"/>
    </row>
  </sheetData>
  <mergeCells count="1">
    <mergeCell ref="B3:J3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5:E18"/>
  <sheetViews>
    <sheetView showGridLines="0" view="pageBreakPreview" zoomScaleNormal="100" workbookViewId="0">
      <selection activeCell="G17" sqref="G17"/>
    </sheetView>
  </sheetViews>
  <sheetFormatPr defaultColWidth="9" defaultRowHeight="14"/>
  <cols>
    <col min="1" max="1" width="1.26953125" style="2" customWidth="1"/>
    <col min="2" max="2" width="45.26953125" style="2" customWidth="1"/>
    <col min="3" max="3" width="18.90625" style="2" customWidth="1"/>
    <col min="4" max="4" width="17.90625" style="2" customWidth="1"/>
    <col min="5" max="5" width="22.453125" style="2" customWidth="1"/>
    <col min="6" max="16384" width="9" style="2"/>
  </cols>
  <sheetData>
    <row r="5" spans="2:5" s="9" customFormat="1" ht="25" customHeight="1">
      <c r="B5" s="96" t="s">
        <v>86</v>
      </c>
      <c r="C5" s="96"/>
      <c r="D5" s="96"/>
      <c r="E5" s="96"/>
    </row>
    <row r="6" spans="2:5" ht="20.149999999999999" customHeight="1">
      <c r="B6" s="10" t="s">
        <v>87</v>
      </c>
    </row>
    <row r="7" spans="2:5" ht="20.149999999999999" customHeight="1">
      <c r="B7" s="10" t="s">
        <v>88</v>
      </c>
    </row>
    <row r="8" spans="2:5" ht="20.149999999999999" customHeight="1">
      <c r="B8" s="10" t="s">
        <v>89</v>
      </c>
    </row>
    <row r="9" spans="2:5" ht="20.149999999999999" customHeight="1">
      <c r="B9" s="10" t="s">
        <v>90</v>
      </c>
    </row>
    <row r="11" spans="2:5">
      <c r="B11" s="11" t="s">
        <v>91</v>
      </c>
      <c r="C11" s="11" t="s">
        <v>92</v>
      </c>
      <c r="D11" s="11" t="s">
        <v>93</v>
      </c>
      <c r="E11" s="12" t="s">
        <v>94</v>
      </c>
    </row>
    <row r="12" spans="2:5" ht="20.149999999999999" customHeight="1">
      <c r="B12" s="13" t="s">
        <v>95</v>
      </c>
      <c r="C12" s="13"/>
      <c r="D12" s="13"/>
      <c r="E12" s="13"/>
    </row>
    <row r="13" spans="2:5" ht="20.149999999999999" customHeight="1">
      <c r="B13" s="13" t="s">
        <v>96</v>
      </c>
      <c r="C13" s="13"/>
      <c r="D13" s="13"/>
      <c r="E13" s="13"/>
    </row>
    <row r="14" spans="2:5" ht="20.149999999999999" customHeight="1">
      <c r="B14" s="13" t="s">
        <v>97</v>
      </c>
      <c r="C14" s="13"/>
      <c r="D14" s="13"/>
      <c r="E14" s="13"/>
    </row>
    <row r="15" spans="2:5" ht="20.149999999999999" customHeight="1">
      <c r="B15" s="13" t="s">
        <v>98</v>
      </c>
      <c r="C15" s="13"/>
      <c r="D15" s="13"/>
      <c r="E15" s="13"/>
    </row>
    <row r="16" spans="2:5" ht="20.149999999999999" customHeight="1">
      <c r="B16" s="13" t="s">
        <v>99</v>
      </c>
      <c r="C16" s="13"/>
      <c r="D16" s="13"/>
      <c r="E16" s="13"/>
    </row>
    <row r="17" spans="2:5" ht="20.149999999999999" customHeight="1">
      <c r="B17" s="13" t="s">
        <v>100</v>
      </c>
      <c r="C17" s="13"/>
      <c r="D17" s="13"/>
      <c r="E17" s="13"/>
    </row>
    <row r="18" spans="2:5" ht="20.149999999999999" customHeight="1">
      <c r="B18" s="13" t="s">
        <v>101</v>
      </c>
      <c r="C18" s="13"/>
      <c r="D18" s="13"/>
      <c r="E18" s="13"/>
    </row>
  </sheetData>
  <mergeCells count="1">
    <mergeCell ref="B5:E5"/>
  </mergeCells>
  <phoneticPr fontId="3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showGridLines="0" view="pageBreakPreview" zoomScaleNormal="100" workbookViewId="0">
      <selection activeCell="B4" sqref="B4:H4"/>
    </sheetView>
  </sheetViews>
  <sheetFormatPr defaultColWidth="8.7265625" defaultRowHeight="14"/>
  <cols>
    <col min="1" max="1" width="3" customWidth="1"/>
    <col min="2" max="8" width="18.7265625" customWidth="1"/>
  </cols>
  <sheetData>
    <row r="1" spans="1:8" ht="20" customHeight="1">
      <c r="A1" s="1"/>
      <c r="B1" s="2"/>
      <c r="C1" s="2"/>
      <c r="D1" s="2"/>
      <c r="E1" s="2"/>
      <c r="F1" s="2"/>
      <c r="G1" s="2"/>
      <c r="H1" s="2"/>
    </row>
    <row r="2" spans="1:8" ht="20" customHeight="1">
      <c r="A2" s="1"/>
      <c r="B2" s="2"/>
      <c r="C2" s="2"/>
      <c r="D2" s="2"/>
      <c r="E2" s="2"/>
      <c r="F2" s="2"/>
      <c r="G2" s="2"/>
      <c r="H2" s="2"/>
    </row>
    <row r="3" spans="1:8" ht="20" customHeight="1">
      <c r="A3" s="1"/>
      <c r="B3" s="2"/>
      <c r="C3" s="2"/>
      <c r="D3" s="2"/>
      <c r="E3" s="2"/>
      <c r="F3" s="2"/>
      <c r="G3" s="2"/>
      <c r="H3" s="2"/>
    </row>
    <row r="4" spans="1:8" ht="20" customHeight="1">
      <c r="A4" s="1"/>
      <c r="B4" s="82" t="s">
        <v>102</v>
      </c>
      <c r="C4" s="82"/>
      <c r="D4" s="82"/>
      <c r="E4" s="82"/>
      <c r="F4" s="82"/>
      <c r="G4" s="82"/>
      <c r="H4" s="82"/>
    </row>
    <row r="5" spans="1:8" ht="20" customHeight="1">
      <c r="A5" s="3" t="s">
        <v>28</v>
      </c>
      <c r="B5" s="4" t="s">
        <v>76</v>
      </c>
      <c r="C5" s="5" t="s">
        <v>77</v>
      </c>
      <c r="D5" s="5" t="s">
        <v>81</v>
      </c>
      <c r="E5" s="5" t="s">
        <v>103</v>
      </c>
      <c r="F5" s="5" t="s">
        <v>104</v>
      </c>
      <c r="G5" s="5" t="s">
        <v>105</v>
      </c>
      <c r="H5" s="5" t="s">
        <v>19</v>
      </c>
    </row>
    <row r="6" spans="1:8" ht="20" customHeight="1">
      <c r="A6" s="1">
        <v>1</v>
      </c>
      <c r="B6" s="6"/>
      <c r="C6" s="7"/>
      <c r="D6" s="8"/>
      <c r="E6" s="8"/>
      <c r="F6" s="7"/>
      <c r="G6" s="7"/>
      <c r="H6" s="8"/>
    </row>
    <row r="7" spans="1:8" ht="20" customHeight="1">
      <c r="A7" s="1">
        <v>2</v>
      </c>
      <c r="B7" s="8"/>
      <c r="C7" s="8"/>
      <c r="D7" s="8"/>
      <c r="E7" s="8"/>
      <c r="F7" s="8"/>
      <c r="G7" s="8"/>
      <c r="H7" s="8"/>
    </row>
    <row r="8" spans="1:8" ht="20" customHeight="1">
      <c r="A8" s="1">
        <v>3</v>
      </c>
      <c r="B8" s="8"/>
      <c r="C8" s="8"/>
      <c r="D8" s="8"/>
      <c r="E8" s="8"/>
      <c r="F8" s="8"/>
      <c r="G8" s="8"/>
      <c r="H8" s="8"/>
    </row>
    <row r="9" spans="1:8" ht="20" customHeight="1">
      <c r="A9" s="1">
        <v>4</v>
      </c>
      <c r="B9" s="8"/>
      <c r="C9" s="8"/>
      <c r="D9" s="8"/>
      <c r="E9" s="8"/>
      <c r="F9" s="8"/>
      <c r="G9" s="8"/>
      <c r="H9" s="8"/>
    </row>
    <row r="10" spans="1:8" ht="20" customHeight="1">
      <c r="A10" s="1">
        <v>5</v>
      </c>
      <c r="B10" s="8"/>
      <c r="C10" s="8"/>
      <c r="D10" s="8"/>
      <c r="E10" s="8"/>
      <c r="F10" s="8"/>
      <c r="G10" s="8"/>
      <c r="H10" s="8"/>
    </row>
    <row r="11" spans="1:8" ht="20" customHeight="1">
      <c r="A11" s="1">
        <v>6</v>
      </c>
      <c r="B11" s="8"/>
      <c r="C11" s="8"/>
      <c r="D11" s="8"/>
      <c r="E11" s="8"/>
      <c r="F11" s="8"/>
      <c r="G11" s="8"/>
      <c r="H11" s="8"/>
    </row>
    <row r="12" spans="1:8" ht="20" customHeight="1">
      <c r="A12" s="1">
        <v>7</v>
      </c>
      <c r="B12" s="8"/>
      <c r="C12" s="8"/>
      <c r="D12" s="8"/>
      <c r="E12" s="8"/>
      <c r="F12" s="8"/>
      <c r="G12" s="8"/>
      <c r="H12" s="8"/>
    </row>
    <row r="13" spans="1:8" ht="20" customHeight="1">
      <c r="A13" s="1">
        <v>8</v>
      </c>
      <c r="B13" s="8"/>
      <c r="C13" s="8"/>
      <c r="D13" s="8"/>
      <c r="E13" s="8"/>
      <c r="F13" s="8"/>
      <c r="G13" s="8"/>
      <c r="H13" s="8"/>
    </row>
    <row r="14" spans="1:8" ht="20" customHeight="1">
      <c r="A14" s="1">
        <v>9</v>
      </c>
      <c r="B14" s="8"/>
      <c r="C14" s="8"/>
      <c r="D14" s="8"/>
      <c r="E14" s="8"/>
      <c r="F14" s="8"/>
      <c r="G14" s="8"/>
      <c r="H14" s="8"/>
    </row>
  </sheetData>
  <mergeCells count="1">
    <mergeCell ref="B4:H4"/>
  </mergeCells>
  <phoneticPr fontId="31" type="noConversion"/>
  <pageMargins left="0.75" right="0.75" top="1" bottom="1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showGridLines="0" view="pageBreakPreview" zoomScaleNormal="100" zoomScaleSheetLayoutView="100" workbookViewId="0">
      <selection activeCell="B5" sqref="B5:H5"/>
    </sheetView>
  </sheetViews>
  <sheetFormatPr defaultColWidth="8.7265625" defaultRowHeight="14"/>
  <cols>
    <col min="1" max="1" width="3" style="58" customWidth="1"/>
    <col min="2" max="8" width="18.7265625" style="58" customWidth="1"/>
    <col min="9" max="16384" width="8.7265625" style="58"/>
  </cols>
  <sheetData>
    <row r="1" spans="1:8" ht="20" customHeight="1">
      <c r="A1" s="57"/>
    </row>
    <row r="2" spans="1:8" ht="20" customHeight="1">
      <c r="A2" s="57"/>
    </row>
    <row r="3" spans="1:8" ht="20" customHeight="1">
      <c r="A3" s="57"/>
    </row>
    <row r="4" spans="1:8" ht="20" customHeight="1">
      <c r="A4" s="57"/>
      <c r="B4" s="100" t="s">
        <v>138</v>
      </c>
      <c r="C4" s="100"/>
      <c r="D4" s="100"/>
      <c r="E4" s="100"/>
      <c r="F4" s="100"/>
      <c r="G4" s="100"/>
      <c r="H4" s="100"/>
    </row>
    <row r="5" spans="1:8" ht="28" customHeight="1">
      <c r="A5" s="59"/>
      <c r="B5" s="101" t="s">
        <v>106</v>
      </c>
      <c r="C5" s="102"/>
      <c r="D5" s="102"/>
      <c r="E5" s="102"/>
      <c r="F5" s="102"/>
      <c r="G5" s="102"/>
      <c r="H5" s="103"/>
    </row>
    <row r="6" spans="1:8" ht="20" customHeight="1">
      <c r="A6" s="57"/>
      <c r="B6" s="104" t="s">
        <v>107</v>
      </c>
      <c r="C6" s="105"/>
      <c r="D6" s="105"/>
      <c r="E6" s="105"/>
      <c r="F6" s="105"/>
      <c r="G6" s="105"/>
      <c r="H6" s="106"/>
    </row>
    <row r="7" spans="1:8" ht="20" customHeight="1">
      <c r="A7" s="57"/>
      <c r="B7" s="104" t="s">
        <v>108</v>
      </c>
      <c r="C7" s="105"/>
      <c r="D7" s="105"/>
      <c r="E7" s="105"/>
      <c r="F7" s="105"/>
      <c r="G7" s="105"/>
      <c r="H7" s="106"/>
    </row>
    <row r="8" spans="1:8" ht="20" customHeight="1">
      <c r="A8" s="57"/>
      <c r="B8" s="60" t="s">
        <v>109</v>
      </c>
      <c r="C8" s="61"/>
      <c r="D8" s="61"/>
      <c r="E8" s="61"/>
      <c r="F8" s="61"/>
      <c r="G8" s="61"/>
      <c r="H8" s="62"/>
    </row>
    <row r="9" spans="1:8" ht="20" customHeight="1">
      <c r="A9" s="57"/>
      <c r="B9" s="60" t="s">
        <v>110</v>
      </c>
      <c r="C9" s="61"/>
      <c r="D9" s="61"/>
      <c r="E9" s="61"/>
      <c r="F9" s="61"/>
      <c r="G9" s="61"/>
      <c r="H9" s="62"/>
    </row>
    <row r="10" spans="1:8" ht="20" customHeight="1">
      <c r="A10" s="57"/>
      <c r="B10" s="60" t="s">
        <v>111</v>
      </c>
      <c r="C10" s="61"/>
      <c r="D10" s="61"/>
      <c r="E10" s="61"/>
      <c r="F10" s="61"/>
      <c r="G10" s="61"/>
      <c r="H10" s="62"/>
    </row>
    <row r="11" spans="1:8" ht="20" customHeight="1">
      <c r="A11" s="57"/>
      <c r="B11" s="60" t="s">
        <v>112</v>
      </c>
      <c r="C11" s="61"/>
      <c r="D11" s="61"/>
      <c r="E11" s="61"/>
      <c r="F11" s="61"/>
      <c r="G11" s="61"/>
      <c r="H11" s="62"/>
    </row>
    <row r="12" spans="1:8" ht="20" customHeight="1">
      <c r="A12" s="57"/>
      <c r="B12" s="63" t="s">
        <v>113</v>
      </c>
      <c r="C12" s="63" t="s">
        <v>114</v>
      </c>
      <c r="D12" s="63" t="s">
        <v>115</v>
      </c>
      <c r="E12" s="63" t="s">
        <v>147</v>
      </c>
      <c r="F12" s="63" t="s">
        <v>116</v>
      </c>
      <c r="G12" s="63" t="s">
        <v>146</v>
      </c>
      <c r="H12" s="63" t="s">
        <v>117</v>
      </c>
    </row>
    <row r="13" spans="1:8" ht="20" customHeight="1">
      <c r="A13" s="57"/>
      <c r="B13" s="63"/>
      <c r="C13" s="63"/>
      <c r="D13" s="63"/>
      <c r="E13" s="63"/>
      <c r="F13" s="63"/>
      <c r="G13" s="63"/>
      <c r="H13" s="63"/>
    </row>
    <row r="14" spans="1:8" ht="20" customHeight="1">
      <c r="A14" s="57"/>
      <c r="B14" s="63"/>
      <c r="C14" s="63"/>
      <c r="D14" s="63"/>
      <c r="E14" s="63"/>
      <c r="F14" s="63"/>
      <c r="G14" s="63"/>
      <c r="H14" s="63"/>
    </row>
    <row r="15" spans="1:8" ht="20" customHeight="1">
      <c r="A15" s="57"/>
      <c r="B15" s="63"/>
      <c r="C15" s="63"/>
      <c r="D15" s="63"/>
      <c r="E15" s="63"/>
      <c r="F15" s="63"/>
      <c r="G15" s="63"/>
      <c r="H15" s="63"/>
    </row>
    <row r="16" spans="1:8" ht="20" customHeight="1">
      <c r="A16" s="57"/>
      <c r="B16" s="63"/>
      <c r="C16" s="63"/>
      <c r="D16" s="63"/>
      <c r="E16" s="63"/>
      <c r="F16" s="63"/>
      <c r="G16" s="63"/>
      <c r="H16" s="63"/>
    </row>
    <row r="17" spans="1:8" ht="20" customHeight="1">
      <c r="A17" s="57"/>
      <c r="B17" s="97" t="s">
        <v>118</v>
      </c>
      <c r="C17" s="98"/>
      <c r="D17" s="98"/>
      <c r="E17" s="98"/>
      <c r="F17" s="99"/>
      <c r="G17" s="63"/>
      <c r="H17" s="63"/>
    </row>
    <row r="18" spans="1:8" ht="20" customHeight="1">
      <c r="A18" s="57"/>
      <c r="B18" s="63" t="s">
        <v>119</v>
      </c>
      <c r="C18" s="63" t="s">
        <v>120</v>
      </c>
      <c r="D18" s="63" t="s">
        <v>121</v>
      </c>
      <c r="E18" s="63" t="s">
        <v>122</v>
      </c>
      <c r="F18" s="97" t="s">
        <v>123</v>
      </c>
      <c r="G18" s="98"/>
      <c r="H18" s="99"/>
    </row>
    <row r="19" spans="1:8" ht="29" customHeight="1">
      <c r="A19" s="57"/>
      <c r="B19" s="63" t="s">
        <v>124</v>
      </c>
      <c r="C19" s="63"/>
      <c r="D19" s="63"/>
      <c r="E19" s="63"/>
      <c r="F19" s="97"/>
      <c r="G19" s="98"/>
      <c r="H19" s="99"/>
    </row>
    <row r="20" spans="1:8" ht="29" customHeight="1">
      <c r="A20" s="57"/>
      <c r="B20" s="63" t="s">
        <v>125</v>
      </c>
      <c r="C20" s="63"/>
      <c r="D20" s="63"/>
      <c r="E20" s="63"/>
      <c r="F20" s="97"/>
      <c r="G20" s="98"/>
      <c r="H20" s="99"/>
    </row>
  </sheetData>
  <mergeCells count="8">
    <mergeCell ref="F18:H18"/>
    <mergeCell ref="F19:H19"/>
    <mergeCell ref="F20:H20"/>
    <mergeCell ref="B4:H4"/>
    <mergeCell ref="B5:H5"/>
    <mergeCell ref="B6:H6"/>
    <mergeCell ref="B7:H7"/>
    <mergeCell ref="B17:F17"/>
  </mergeCells>
  <phoneticPr fontId="31" type="noConversion"/>
  <pageMargins left="0.75" right="0.75" top="1" bottom="1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9"/>
  <sheetViews>
    <sheetView showGridLines="0" tabSelected="1" view="pageBreakPreview" zoomScaleNormal="100" zoomScaleSheetLayoutView="100" workbookViewId="0">
      <selection activeCell="S9" sqref="A1:S9"/>
    </sheetView>
  </sheetViews>
  <sheetFormatPr defaultColWidth="8.7265625" defaultRowHeight="14"/>
  <cols>
    <col min="1" max="1" width="1.36328125" style="58" customWidth="1"/>
    <col min="2" max="2" width="7.6328125" style="58" customWidth="1"/>
    <col min="3" max="3" width="8.54296875" style="58" bestFit="1" customWidth="1"/>
    <col min="4" max="4" width="8.7265625" style="58"/>
    <col min="5" max="5" width="12.7265625" style="58" customWidth="1"/>
    <col min="6" max="6" width="10.453125" style="58" customWidth="1"/>
    <col min="7" max="7" width="12.90625" style="58" customWidth="1"/>
    <col min="8" max="9" width="12.7265625" style="58" customWidth="1"/>
    <col min="10" max="10" width="8.7265625" style="58"/>
    <col min="11" max="11" width="8" style="58" customWidth="1"/>
    <col min="12" max="13" width="8.7265625" style="58"/>
    <col min="14" max="14" width="13.54296875" style="58" customWidth="1"/>
    <col min="15" max="15" width="10.26953125" style="58" customWidth="1"/>
    <col min="16" max="16" width="14.26953125" style="58" customWidth="1"/>
    <col min="17" max="17" width="9.90625" style="58" customWidth="1"/>
    <col min="18" max="18" width="9.54296875" style="58" customWidth="1"/>
    <col min="19" max="16384" width="8.7265625" style="58"/>
  </cols>
  <sheetData>
    <row r="1" spans="1:18">
      <c r="A1" s="64"/>
      <c r="B1" s="64"/>
      <c r="C1" s="65"/>
      <c r="D1" s="64"/>
      <c r="E1" s="66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>
      <c r="A2" s="64"/>
      <c r="B2" s="64"/>
      <c r="C2" s="65"/>
      <c r="D2" s="64"/>
      <c r="E2" s="66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>
      <c r="A3" s="64"/>
      <c r="B3" s="64"/>
      <c r="C3" s="65"/>
      <c r="D3" s="64"/>
      <c r="E3" s="66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>
      <c r="A4" s="64"/>
      <c r="B4" s="64"/>
      <c r="C4" s="65"/>
      <c r="D4" s="64"/>
      <c r="E4" s="66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 spans="1:18" ht="30" customHeight="1">
      <c r="A5" s="64"/>
      <c r="B5" s="109" t="s">
        <v>149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</row>
    <row r="6" spans="1:18" ht="14" customHeight="1">
      <c r="A6" s="64"/>
      <c r="B6" s="113" t="s">
        <v>126</v>
      </c>
      <c r="C6" s="114" t="s">
        <v>127</v>
      </c>
      <c r="D6" s="114" t="s">
        <v>128</v>
      </c>
      <c r="E6" s="115" t="s">
        <v>144</v>
      </c>
      <c r="F6" s="112" t="s">
        <v>129</v>
      </c>
      <c r="G6" s="112"/>
      <c r="H6" s="112"/>
      <c r="I6" s="112"/>
      <c r="J6" s="112"/>
      <c r="K6" s="112" t="s">
        <v>130</v>
      </c>
      <c r="L6" s="112"/>
      <c r="M6" s="112"/>
      <c r="N6" s="110" t="s">
        <v>145</v>
      </c>
      <c r="O6" s="108" t="s">
        <v>131</v>
      </c>
      <c r="P6" s="107" t="s">
        <v>132</v>
      </c>
      <c r="Q6" s="108" t="s">
        <v>133</v>
      </c>
      <c r="R6" s="108" t="s">
        <v>134</v>
      </c>
    </row>
    <row r="7" spans="1:18" ht="26">
      <c r="A7" s="64"/>
      <c r="B7" s="113"/>
      <c r="C7" s="114"/>
      <c r="D7" s="114"/>
      <c r="E7" s="115"/>
      <c r="F7" s="67" t="s">
        <v>135</v>
      </c>
      <c r="G7" s="68" t="s">
        <v>141</v>
      </c>
      <c r="H7" s="68" t="s">
        <v>140</v>
      </c>
      <c r="I7" s="68" t="s">
        <v>139</v>
      </c>
      <c r="J7" s="68" t="s">
        <v>136</v>
      </c>
      <c r="K7" s="67" t="s">
        <v>137</v>
      </c>
      <c r="L7" s="68" t="s">
        <v>136</v>
      </c>
      <c r="M7" s="68" t="s">
        <v>142</v>
      </c>
      <c r="N7" s="111"/>
      <c r="O7" s="108"/>
      <c r="P7" s="107"/>
      <c r="Q7" s="108"/>
      <c r="R7" s="108"/>
    </row>
    <row r="8" spans="1:18">
      <c r="A8" s="64"/>
      <c r="B8" s="69" t="s">
        <v>143</v>
      </c>
      <c r="C8" s="70"/>
      <c r="D8" s="71"/>
      <c r="E8" s="72">
        <v>100</v>
      </c>
      <c r="F8" s="73">
        <f>(E8*100)*20%+(E8*100)</f>
        <v>12000</v>
      </c>
      <c r="G8" s="72">
        <f>F8/3.3</f>
        <v>3636.3636363636365</v>
      </c>
      <c r="H8" s="72">
        <f>G8*5%</f>
        <v>181.81818181818184</v>
      </c>
      <c r="I8" s="72">
        <f>H8-E8</f>
        <v>81.818181818181841</v>
      </c>
      <c r="J8" s="75">
        <f>E8/H8</f>
        <v>0.54999999999999993</v>
      </c>
      <c r="K8" s="72"/>
      <c r="L8" s="72"/>
      <c r="M8" s="72"/>
      <c r="N8" s="79">
        <f>((F8/100)-E8)/E8</f>
        <v>0.2</v>
      </c>
      <c r="O8" s="80"/>
      <c r="P8" s="81"/>
      <c r="Q8" s="80"/>
      <c r="R8" s="80"/>
    </row>
    <row r="9" spans="1:18">
      <c r="A9" s="64"/>
      <c r="B9" s="69"/>
      <c r="C9" s="70"/>
      <c r="D9" s="71"/>
      <c r="E9" s="72"/>
      <c r="F9" s="73"/>
      <c r="G9" s="74"/>
      <c r="H9" s="74"/>
      <c r="I9" s="74"/>
      <c r="J9" s="75"/>
      <c r="K9" s="73"/>
      <c r="L9" s="76"/>
      <c r="M9" s="74"/>
      <c r="N9" s="77"/>
      <c r="O9" s="69"/>
      <c r="P9" s="78"/>
      <c r="Q9" s="69"/>
      <c r="R9" s="69"/>
    </row>
  </sheetData>
  <mergeCells count="12">
    <mergeCell ref="P6:P7"/>
    <mergeCell ref="Q6:Q7"/>
    <mergeCell ref="R6:R7"/>
    <mergeCell ref="B5:R5"/>
    <mergeCell ref="N6:N7"/>
    <mergeCell ref="O6:O7"/>
    <mergeCell ref="F6:J6"/>
    <mergeCell ref="K6:M6"/>
    <mergeCell ref="B6:B7"/>
    <mergeCell ref="C6:C7"/>
    <mergeCell ref="D6:D7"/>
    <mergeCell ref="E6:E7"/>
  </mergeCells>
  <phoneticPr fontId="31" type="noConversion"/>
  <dataValidations count="1">
    <dataValidation type="list" allowBlank="1" showInputMessage="1" showErrorMessage="1" sqref="Q8" xr:uid="{00000000-0002-0000-0B00-000000000000}">
      <formula1>"常规,促销,下架"</formula1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目录</vt:lpstr>
      <vt:lpstr>1.”心享“计划物料到货情况统计表</vt:lpstr>
      <vt:lpstr>2.“心享”计划定期物料出库情况统计表</vt:lpstr>
      <vt:lpstr>3.“心享”计划相关物料邮寄信息（酒店）</vt:lpstr>
      <vt:lpstr>4.“心享”计划相关物料分发名单</vt:lpstr>
      <vt:lpstr>5.临时物料出库情况统计表</vt:lpstr>
      <vt:lpstr>6.补卡申请情况统计表</vt:lpstr>
      <vt:lpstr>7.账户合并申请情况统计表</vt:lpstr>
      <vt:lpstr>8.申请表记录抽样报告</vt:lpstr>
      <vt:lpstr>9.“心享”会员投诉积分奖励记录表</vt:lpstr>
      <vt:lpstr>10.合作供应商产品清单</vt:lpstr>
      <vt:lpstr>11.积分商城商品清单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任婧</cp:lastModifiedBy>
  <dcterms:created xsi:type="dcterms:W3CDTF">2006-09-13T11:21:00Z</dcterms:created>
  <dcterms:modified xsi:type="dcterms:W3CDTF">2022-01-14T02:41:00Z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C2AE63D3FD5148F3A23833ED4EBDA078</vt:lpwstr>
  </property>
  <property fmtid="{D5CDD505-2E9C-101B-9397-08002B2CF9AE}" pid="3" name="KSOProductBuildVer">
    <vt:lpwstr>2052-11.1.0.11294</vt:lpwstr>
  </property>
</Properties>
</file>